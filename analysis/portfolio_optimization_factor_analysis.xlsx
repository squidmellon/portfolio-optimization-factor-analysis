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991984d704b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9d7d7093a244275"/>
    <x:sheet xmlns:r="http://schemas.openxmlformats.org/officeDocument/2006/relationships" name="Descriptive Statistics" sheetId="2" r:id="R8cf8f1c8829f4d4d"/>
    <x:sheet xmlns:r="http://schemas.openxmlformats.org/officeDocument/2006/relationships" name="Portfolio Optimization" sheetId="3" r:id="R64e80a9e38af4cf6"/>
    <x:sheet xmlns:r="http://schemas.openxmlformats.org/officeDocument/2006/relationships" name="Factor Data" sheetId="4" r:id="R13783d1487bc4613"/>
    <x:sheet xmlns:r="http://schemas.openxmlformats.org/officeDocument/2006/relationships" name="Regression Results" sheetId="5" r:id="R873c5f221938432c"/>
    <x:sheet xmlns:r="http://schemas.openxmlformats.org/officeDocument/2006/relationships" name="Limitations" sheetId="6" r:id="R09793788d26e40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;[Red](0.00);-"/>
    <x:numFmt numFmtId="201" formatCode="0.000;[Red](0.000);-"/>
    <x:numFmt numFmtId="202" formatCode="0.0000;[Red](0.0000);-"/>
    <x:numFmt numFmtId="203" formatCode="0.00%;[Red](0.00%);-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b/>
      <x:sz val="16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/>
    <x:xf numFmtId="0" fontId="6" fillId="3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2" fontId="5" fillId="0" borderId="0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3" fontId="5" fillId="0" borderId="0" xfId="0" applyNumberFormat="1" applyFont="1" applyFill="1" applyBorder="1" applyAlignment="1">
      <x:alignment vertical="center"/>
    </x:xf>
    <x:xf numFmtId="203" fontId="5" fillId="0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8bdb731bb4747" /><Relationship Type="http://schemas.openxmlformats.org/officeDocument/2006/relationships/theme" Target="/xl/theme/theme1.xml" Id="R12a9c7c432f84404" /><Relationship Type="http://schemas.openxmlformats.org/officeDocument/2006/relationships/sharedStrings" Target="/xl/sharedStrings.xml" Id="R002559e5edab4c5e" /><Relationship Type="http://schemas.openxmlformats.org/officeDocument/2006/relationships/worksheet" Target="/xl/worksheets/sheet1.xml" Id="R59d7d7093a244275" /><Relationship Type="http://schemas.openxmlformats.org/officeDocument/2006/relationships/worksheet" Target="/xl/worksheets/sheet2.xml" Id="R8cf8f1c8829f4d4d" /><Relationship Type="http://schemas.openxmlformats.org/officeDocument/2006/relationships/worksheet" Target="/xl/worksheets/sheet3.xml" Id="R64e80a9e38af4cf6" /><Relationship Type="http://schemas.openxmlformats.org/officeDocument/2006/relationships/worksheet" Target="/xl/worksheets/sheet4.xml" Id="R13783d1487bc4613" /><Relationship Type="http://schemas.openxmlformats.org/officeDocument/2006/relationships/worksheet" Target="/xl/worksheets/sheet5.xml" Id="R873c5f221938432c" /><Relationship Type="http://schemas.openxmlformats.org/officeDocument/2006/relationships/worksheet" Target="/xl/worksheets/sheet6.xml" Id="R09793788d26e40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70" t="str">
        <x:v>Portfolio Optimization &amp; Factor Analysis</x:v>
      </x:c>
      <x:c r="B1" s="70"/>
      <x:c r="C1" s="70"/>
      <x:c r="D1" s="70"/>
      <x:c r="E1" s="70"/>
      <x:c r="F1" s="70"/>
      <x:c r="G1" s="70"/>
      <x:c r="H1" s="70"/>
    </x:row>
    <x:row r="2">
      <x:c r="A2" s="48"/>
      <x:c r="B2" s="48"/>
      <x:c r="C2" s="48"/>
      <x:c r="D2" s="48"/>
      <x:c r="E2" s="48"/>
      <x:c r="F2" s="48"/>
      <x:c r="G2" s="48"/>
      <x:c r="H2" s="48"/>
    </x:row>
    <x:row r="3">
      <x:c r="A3" s="49" t="str">
        <x:v>Project scope</x:v>
      </x:c>
      <x:c r="B3" s="50" t="str">
        <x:v>Eight-stock mean-variance optimization and factor analysis using monthly data from 2015-2023.</x:v>
      </x:c>
      <x:c r="C3" s="48"/>
      <x:c r="D3" s="48"/>
      <x:c r="E3" s="48"/>
      <x:c r="F3" s="48"/>
      <x:c r="G3" s="48"/>
      <x:c r="H3" s="48"/>
    </x:row>
    <x:row r="4">
      <x:c r="A4" s="49" t="str">
        <x:v>Assets</x:v>
      </x:c>
      <x:c r="B4" s="50" t="str">
        <x:v>CI, F, IBM, JNJ, MU, SHW, WBD, XOM</x:v>
      </x:c>
      <x:c r="C4" s="48"/>
      <x:c r="D4" s="48"/>
      <x:c r="E4" s="48"/>
      <x:c r="F4" s="48"/>
      <x:c r="G4" s="48"/>
      <x:c r="H4" s="48"/>
    </x:row>
    <x:row r="5">
      <x:c r="A5" s="49" t="str">
        <x:v>Optimization</x:v>
      </x:c>
      <x:c r="B5" s="50" t="str">
        <x:v>Global minimum-variance and maximum-Sharpe portfolios; short sales permitted.</x:v>
      </x:c>
      <x:c r="C5" s="48"/>
      <x:c r="D5" s="48"/>
      <x:c r="E5" s="48"/>
      <x:c r="F5" s="48"/>
      <x:c r="G5" s="48"/>
      <x:c r="H5" s="48"/>
    </x:row>
    <x:row r="6">
      <x:c r="A6" s="49" t="str">
        <x:v>Benchmark</x:v>
      </x:c>
      <x:c r="B6" s="50" t="str">
        <x:v>SPY and S&amp;P 500 index</x:v>
      </x:c>
      <x:c r="C6" s="48"/>
      <x:c r="D6" s="48"/>
      <x:c r="E6" s="48"/>
      <x:c r="F6" s="48"/>
      <x:c r="G6" s="48"/>
      <x:c r="H6" s="48"/>
    </x:row>
    <x:row r="7">
      <x:c r="A7" s="49" t="str">
        <x:v>Factor models</x:v>
      </x:c>
      <x:c r="B7" s="50" t="str">
        <x:v>Market regression, Fama-French 3-factor, and Carhart 4-factor</x:v>
      </x:c>
      <x:c r="C7" s="48"/>
      <x:c r="D7" s="48"/>
      <x:c r="E7" s="48"/>
      <x:c r="F7" s="48"/>
      <x:c r="G7" s="48"/>
      <x:c r="H7" s="48"/>
    </x:row>
    <x:row r="8">
      <x:c r="A8" s="49" t="str">
        <x:v>Primary tools</x:v>
      </x:c>
      <x:c r="B8" s="50" t="str">
        <x:v>Excel Solver and Stata</x:v>
      </x:c>
      <x:c r="C8" s="48"/>
      <x:c r="D8" s="48"/>
      <x:c r="E8" s="48"/>
      <x:c r="F8" s="48"/>
      <x:c r="G8" s="48"/>
      <x:c r="H8" s="48"/>
    </x:row>
    <x:row r="9">
      <x:c r="A9" s="49" t="str">
        <x:v>Key correction</x:v>
      </x:c>
      <x:c r="B9" s="50" t="str">
        <x:v>The original report's descriptive 'SD' row was standard error; this workbook reports true monthly standard deviation.</x:v>
      </x:c>
      <x:c r="C9" s="48"/>
      <x:c r="D9" s="48"/>
      <x:c r="E9" s="48"/>
      <x:c r="F9" s="48"/>
      <x:c r="G9" s="48"/>
      <x:c r="H9" s="48"/>
    </x:row>
    <x:row r="10">
      <x:c r="A10" s="49" t="str">
        <x:v>Interpretation</x:v>
      </x:c>
      <x:c r="B10" s="50" t="str">
        <x:v>All performance results are in-sample and do not establish out-of-sample alpha or investment skill.</x:v>
      </x:c>
      <x:c r="C10" s="48"/>
      <x:c r="D10" s="48"/>
      <x:c r="E10" s="48"/>
      <x:c r="F10" s="48"/>
      <x:c r="G10" s="48"/>
      <x:c r="H10" s="48"/>
    </x:row>
    <x:row r="11">
      <x:c r="A11" s="48"/>
      <x:c r="B11" s="48"/>
      <x:c r="C11" s="48"/>
      <x:c r="D11" s="48"/>
      <x:c r="E11" s="48"/>
      <x:c r="F11" s="48"/>
      <x:c r="G11" s="48"/>
      <x:c r="H11" s="48"/>
    </x:row>
    <x:row r="12">
      <x:c r="A12" s="38" t="str">
        <x:v>Portfolio / Benchmark</x:v>
      </x:c>
      <x:c r="B12" s="38" t="str">
        <x:v>Annualized Return (%)</x:v>
      </x:c>
      <x:c r="C12" s="38" t="str">
        <x:v>Annualized SD (%)</x:v>
      </x:c>
      <x:c r="D12" s="38" t="str">
        <x:v>Annualized Sharpe</x:v>
      </x:c>
      <x:c r="E12" s="48"/>
      <x:c r="F12" s="48"/>
      <x:c r="G12" s="48"/>
      <x:c r="H12" s="48"/>
    </x:row>
    <x:row r="13">
      <x:c r="A13" s="48" t="str">
        <x:v>Global minimum-variance (G)</x:v>
      </x:c>
      <x:c r="B13" s="51" t="n">
        <x:v>10.125</x:v>
      </x:c>
      <x:c r="C13" s="51" t="n">
        <x:v>15.1765</x:v>
      </x:c>
      <x:c r="D13" s="51" t="n">
        <x:v>0.5813</x:v>
      </x:c>
      <x:c r="E13" s="48"/>
      <x:c r="F13" s="48"/>
      <x:c r="G13" s="48"/>
      <x:c r="H13" s="48"/>
    </x:row>
    <x:row r="14">
      <x:c r="A14" s="48" t="str">
        <x:v>Maximum-Sharpe / optimal risky (P)</x:v>
      </x:c>
      <x:c r="B14" s="51" t="n">
        <x:v>22.4013</x:v>
      </x:c>
      <x:c r="C14" s="51" t="n">
        <x:v>22.8002</x:v>
      </x:c>
      <x:c r="D14" s="51" t="n">
        <x:v>0.9253</x:v>
      </x:c>
      <x:c r="E14" s="48"/>
      <x:c r="F14" s="48"/>
      <x:c r="G14" s="48"/>
      <x:c r="H14" s="48"/>
    </x:row>
    <x:row r="15">
      <x:c r="A15" s="48" t="str">
        <x:v>SPY</x:v>
      </x:c>
      <x:c r="B15" s="51" t="n">
        <x:v>13.0238</x:v>
      </x:c>
      <x:c r="C15" s="51" t="n">
        <x:v>13.0166</x:v>
      </x:c>
      <x:c r="D15" s="51" t="n">
        <x:v>0.9004</x:v>
      </x:c>
      <x:c r="E15" s="48"/>
      <x:c r="F15" s="48"/>
      <x:c r="G15" s="48"/>
      <x:c r="H15" s="48"/>
    </x:row>
    <x:row r="16">
      <x:c r="A16" s="48" t="str">
        <x:v>S&amp;P 500 index</x:v>
      </x:c>
      <x:c r="B16" s="51" t="n">
        <x:v>11.0594</x:v>
      </x:c>
      <x:c r="C16" s="51" t="n">
        <x:v>12.8372</x:v>
      </x:c>
      <x:c r="D16" s="51" t="n">
        <x:v>0.76</x:v>
      </x:c>
      <x:c r="E16" s="48"/>
      <x:c r="F16" s="48"/>
      <x:c r="G16" s="48"/>
      <x:c r="H16" s="48"/>
    </x:row>
    <x:row r="17">
      <x:c r="A17" s="48"/>
      <x:c r="B17" s="48"/>
      <x:c r="C17" s="48"/>
      <x:c r="D17" s="48"/>
      <x:c r="E17" s="48"/>
      <x:c r="F17" s="48"/>
      <x:c r="G17" s="48"/>
      <x:c r="H17" s="48"/>
    </x:row>
    <x:row r="18">
      <x:c r="A18" s="38" t="str">
        <x:v>Model</x:v>
      </x:c>
      <x:c r="B18" s="38" t="str">
        <x:v>Monthly Alpha (%)</x:v>
      </x:c>
      <x:c r="C18" s="38" t="str">
        <x:v>Alpha p-value</x:v>
      </x:c>
      <x:c r="D18" s="38" t="str">
        <x:v>R-squared</x:v>
      </x:c>
      <x:c r="E18" s="48"/>
      <x:c r="F18" s="48"/>
      <x:c r="G18" s="48"/>
      <x:c r="H18" s="48"/>
    </x:row>
    <x:row r="19">
      <x:c r="A19" s="48" t="str">
        <x:v>Market regression</x:v>
      </x:c>
      <x:c r="B19" s="52" t="n">
        <x:v>0.9987622719350155</x:v>
      </x:c>
      <x:c r="C19" s="52" t="n">
        <x:v>0.05201041903084644</x:v>
      </x:c>
      <x:c r="D19" s="52" t="n">
        <x:v>0.2843853851761252</x:v>
      </x:c>
      <x:c r="E19" s="48"/>
      <x:c r="F19" s="48"/>
      <x:c r="G19" s="48"/>
      <x:c r="H19" s="48"/>
    </x:row>
    <x:row r="20">
      <x:c r="A20" s="48" t="str">
        <x:v>Fama-French 3-factor</x:v>
      </x:c>
      <x:c r="B20" s="52" t="n">
        <x:v>1.6483850488205016</x:v>
      </x:c>
      <x:c r="C20" s="52" t="n">
        <x:v>0.007459634111632458</x:v>
      </x:c>
      <x:c r="D20" s="52" t="n">
        <x:v>0.021008668848839895</x:v>
      </x:c>
      <x:c r="E20" s="48"/>
      <x:c r="F20" s="48"/>
      <x:c r="G20" s="48"/>
      <x:c r="H20" s="48"/>
    </x:row>
    <x:row r="21">
      <x:c r="A21" s="48" t="str">
        <x:v>Carhart 4-factor</x:v>
      </x:c>
      <x:c r="B21" s="52" t="n">
        <x:v>1.686638762007599</x:v>
      </x:c>
      <x:c r="C21" s="52" t="n">
        <x:v>0.00654749976006024</x:v>
      </x:c>
      <x:c r="D21" s="52" t="n">
        <x:v>0.025978937372192368</x:v>
      </x:c>
      <x:c r="E21" s="48"/>
      <x:c r="F21" s="48"/>
      <x:c r="G21" s="48"/>
      <x:c r="H21" s="48"/>
    </x:row>
    <x:row r="22">
      <x:c r="A22" s="48" t="str">
        <x:v>JNJ Carhart comparison</x:v>
      </x:c>
      <x:c r="B22" s="52" t="n">
        <x:v>0.808574930971402</x:v>
      </x:c>
      <x:c r="C22" s="52" t="n">
        <x:v>0.07793645081097439</x:v>
      </x:c>
      <x:c r="D22" s="52" t="n">
        <x:v>0.04735714067780328</x:v>
      </x:c>
      <x:c r="E22" s="48"/>
      <x:c r="F22" s="48"/>
      <x:c r="G22" s="48"/>
      <x:c r="H22" s="48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4" t="str">
        <x:v>Corrected Monthly Return Statistics</x:v>
      </x:c>
      <x:c r="B1" s="34"/>
      <x:c r="C1" s="34"/>
      <x:c r="D1" s="34"/>
      <x:c r="E1" s="34"/>
      <x:c r="F1" s="34"/>
      <x:c r="G1" s="34"/>
    </x:row>
    <x:row r="2">
      <x:c r="A2" s="48"/>
      <x:c r="B2" s="48"/>
      <x:c r="C2" s="48"/>
      <x:c r="D2" s="48"/>
      <x:c r="E2" s="48"/>
      <x:c r="F2" s="48"/>
      <x:c r="G2" s="48"/>
    </x:row>
    <x:row r="3">
      <x:c r="A3" s="38" t="str">
        <x:v>Asset</x:v>
      </x:c>
      <x:c r="B3" s="38" t="str">
        <x:v>Mean Monthly Return (%)</x:v>
      </x:c>
      <x:c r="C3" s="38" t="str">
        <x:v>Monthly SD (%)</x:v>
      </x:c>
      <x:c r="D3" s="38" t="str">
        <x:v>Skewness</x:v>
      </x:c>
      <x:c r="E3" s="38" t="str">
        <x:v>Excess Kurtosis</x:v>
      </x:c>
      <x:c r="F3" s="38" t="str">
        <x:v>Jarque-Bera p-value</x:v>
      </x:c>
      <x:c r="G3" s="38" t="str">
        <x:v>Observations</x:v>
      </x:c>
    </x:row>
    <x:row r="4">
      <x:c r="A4" s="48" t="str">
        <x:v>CI</x:v>
      </x:c>
      <x:c r="B4" s="60" t="n">
        <x:v>1.3066504412273834</x:v>
      </x:c>
      <x:c r="C4" s="60" t="n">
        <x:v>7.7644268880992175</x:v>
      </x:c>
      <x:c r="D4" s="60" t="n">
        <x:v>0.3192072847567473</x:v>
      </x:c>
      <x:c r="E4" s="60" t="n">
        <x:v>0.2735229877606282</x:v>
      </x:c>
      <x:c r="F4" s="60" t="n">
        <x:v>0.3763792066674682</x:v>
      </x:c>
      <x:c r="G4" s="48" t="n">
        <x:v>107</x:v>
      </x:c>
    </x:row>
    <x:row r="5">
      <x:c r="A5" s="48" t="str">
        <x:v>F</x:v>
      </x:c>
      <x:c r="B5" s="60" t="n">
        <x:v>0.8134241994747662</x:v>
      </x:c>
      <x:c r="C5" s="60" t="n">
        <x:v>10.679223000546429</x:v>
      </x:c>
      <x:c r="D5" s="60" t="n">
        <x:v>0.061396744109113804</x:v>
      </x:c>
      <x:c r="E5" s="60" t="n">
        <x:v>0.9618097469347431</x:v>
      </x:c>
      <x:c r="F5" s="60" t="n">
        <x:v>0.18477174348957257</x:v>
      </x:c>
      <x:c r="G5" s="48" t="n">
        <x:v>107</x:v>
      </x:c>
    </x:row>
    <x:row r="6">
      <x:c r="A6" s="48" t="str">
        <x:v>IBM</x:v>
      </x:c>
      <x:c r="B6" s="60" t="n">
        <x:v>0.6943839001249531</x:v>
      </x:c>
      <x:c r="C6" s="60" t="n">
        <x:v>6.663181373675207</x:v>
      </x:c>
      <x:c r="D6" s="60" t="n">
        <x:v>-0.06856790377699004</x:v>
      </x:c>
      <x:c r="E6" s="60" t="n">
        <x:v>1.3521271766374099</x:v>
      </x:c>
      <x:c r="F6" s="60" t="n">
        <x:v>0.032180990413287154</x:v>
      </x:c>
      <x:c r="G6" s="48" t="n">
        <x:v>107</x:v>
      </x:c>
    </x:row>
    <x:row r="7">
      <x:c r="A7" s="48" t="str">
        <x:v>JNJ</x:v>
      </x:c>
      <x:c r="B7" s="60" t="n">
        <x:v>0.7553290000407473</x:v>
      </x:c>
      <x:c r="C7" s="60" t="n">
        <x:v>4.629454967205484</x:v>
      </x:c>
      <x:c r="D7" s="60" t="n">
        <x:v>-0.015550603845328316</x:v>
      </x:c>
      <x:c r="E7" s="60" t="n">
        <x:v>0.2352939205445339</x:v>
      </x:c>
      <x:c r="F7" s="60" t="n">
        <x:v>0.936432801157005</x:v>
      </x:c>
      <x:c r="G7" s="48" t="n">
        <x:v>107</x:v>
      </x:c>
    </x:row>
    <x:row r="8">
      <x:c r="A8" s="48" t="str">
        <x:v>MU</x:v>
      </x:c>
      <x:c r="B8" s="60" t="n">
        <x:v>1.7054343718723364</x:v>
      </x:c>
      <x:c r="C8" s="60" t="n">
        <x:v>11.686163956001241</x:v>
      </x:c>
      <x:c r="D8" s="60" t="n">
        <x:v>-0.17090602151686873</x:v>
      </x:c>
      <x:c r="E8" s="60" t="n">
        <x:v>-0.02558658554380422</x:v>
      </x:c>
      <x:c r="F8" s="60" t="n">
        <x:v>0.7653518466906972</x:v>
      </x:c>
      <x:c r="G8" s="48" t="n">
        <x:v>107</x:v>
      </x:c>
    </x:row>
    <x:row r="9">
      <x:c r="A9" s="48" t="str">
        <x:v>SHW</x:v>
      </x:c>
      <x:c r="B9" s="60" t="n">
        <x:v>1.5167718533057943</x:v>
      </x:c>
      <x:c r="C9" s="60" t="n">
        <x:v>7.422845571058979</x:v>
      </x:c>
      <x:c r="D9" s="60" t="n">
        <x:v>-0.09323523138722192</x:v>
      </x:c>
      <x:c r="E9" s="60" t="n">
        <x:v>-0.01000522864275366</x:v>
      </x:c>
      <x:c r="F9" s="60" t="n">
        <x:v>0.9187037757281709</x:v>
      </x:c>
      <x:c r="G9" s="48" t="n">
        <x:v>107</x:v>
      </x:c>
    </x:row>
    <x:row r="10">
      <x:c r="A10" s="48" t="str">
        <x:v>WBD</x:v>
      </x:c>
      <x:c r="B10" s="60" t="n">
        <x:v>-0.0571946073140186</x:v>
      </x:c>
      <x:c r="C10" s="60" t="n">
        <x:v>13.18302461540417</x:v>
      </x:c>
      <x:c r="D10" s="60" t="n">
        <x:v>1.0634704027001165</x:v>
      </x:c>
      <x:c r="E10" s="60" t="n">
        <x:v>2.921318198478523</x:v>
      </x:c>
      <x:c r="F10" s="60" t="n">
        <x:v>3.3272366426448436e-12</x:v>
      </x:c>
      <x:c r="G10" s="48" t="n">
        <x:v>107</x:v>
      </x:c>
    </x:row>
    <x:row r="11">
      <x:c r="A11" s="48" t="str">
        <x:v>XOM</x:v>
      </x:c>
      <x:c r="B11" s="60" t="n">
        <x:v>0.8291773340106543</x:v>
      </x:c>
      <x:c r="C11" s="60" t="n">
        <x:v>8.169542473319929</x:v>
      </x:c>
      <x:c r="D11" s="60" t="n">
        <x:v>0.32189620332587016</x:v>
      </x:c>
      <x:c r="E11" s="60" t="n">
        <x:v>1.7427229291073516</x:v>
      </x:c>
      <x:c r="F11" s="60" t="n">
        <x:v>0.0012897547267713358</x:v>
      </x:c>
      <x:c r="G11" s="48" t="n">
        <x:v>107</x:v>
      </x:c>
    </x:row>
    <x:row r="12">
      <x:c r="A12" s="48" t="str">
        <x:v>S&amp;P 500</x:v>
      </x:c>
      <x:c r="B12" s="60" t="n">
        <x:v>0.9214893950529065</x:v>
      </x:c>
      <x:c r="C12" s="60" t="n">
        <x:v>4.561608863336775</x:v>
      </x:c>
      <x:c r="D12" s="60" t="n">
        <x:v>-0.3581505827764475</x:v>
      </x:c>
      <x:c r="E12" s="60" t="n">
        <x:v>0.43805901279074444</x:v>
      </x:c>
      <x:c r="F12" s="60" t="n">
        <x:v>0.24551614488092516</x:v>
      </x:c>
      <x:c r="G12" s="48" t="n">
        <x:v>107</x:v>
      </x:c>
    </x:row>
    <x:row r="13">
      <x:c r="A13" s="48"/>
      <x:c r="B13" s="48"/>
      <x:c r="C13" s="48"/>
      <x:c r="D13" s="48"/>
      <x:c r="E13" s="48"/>
      <x:c r="F13" s="48"/>
      <x:c r="G13" s="48"/>
    </x:row>
    <x:row r="14">
      <x:c r="A14" s="48"/>
      <x:c r="B14" s="48"/>
      <x:c r="C14" s="48"/>
      <x:c r="D14" s="48"/>
      <x:c r="E14" s="48"/>
      <x:c r="F14" s="48"/>
      <x:c r="G14" s="48"/>
    </x:row>
    <x:row r="15">
      <x:c r="A15" s="49" t="str">
        <x:v>Correction note</x:v>
      </x:c>
      <x:c r="B15" s="49"/>
      <x:c r="C15" s="49"/>
      <x:c r="D15" s="49"/>
      <x:c r="E15" s="49"/>
      <x:c r="F15" s="49"/>
      <x:c r="G15" s="49"/>
    </x:row>
    <x:row r="16">
      <x:c r="A16" s="50" t="str">
        <x:v>The original report labeled standard errors as standard deviations. The monthly SD column above is recalculated from the 108 monthly return observations.</x:v>
      </x:c>
      <x:c r="B16" s="50"/>
      <x:c r="C16" s="50"/>
      <x:c r="D16" s="50"/>
      <x:c r="E16" s="50"/>
      <x:c r="F16" s="50"/>
      <x:c r="G16" s="50"/>
    </x:row>
    <x:row r="17">
      <x:c r="A17" s="50" t="str">
        <x:v>Excel KURT reports excess kurtosis, so a normal distribution has an expected value of zero rather than three.</x:v>
      </x:c>
      <x:c r="B17" s="50"/>
      <x:c r="C17" s="50"/>
      <x:c r="D17" s="50"/>
      <x:c r="E17" s="50"/>
      <x:c r="F17" s="50"/>
      <x:c r="G17" s="50"/>
    </x:row>
    <x:row r="18">
      <x:c r="A18" s="50" t="str">
        <x:v>Jarque-Bera p-values below 0.05 indicate rejection of normality at the 5% level.</x:v>
      </x:c>
      <x:c r="B18" s="50"/>
      <x:c r="C18" s="50"/>
      <x:c r="D18" s="50"/>
      <x:c r="E18" s="50"/>
      <x:c r="F18" s="50"/>
      <x:c r="G18" s="50"/>
    </x:row>
  </x:sheetData>
  <x:mergeCells>
    <x:mergeCell ref="A1:G1"/>
    <x:mergeCell ref="A15:G15"/>
    <x:mergeCell ref="A16:G16"/>
    <x:mergeCell ref="A17:G17"/>
    <x:mergeCell ref="A18:G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28" customHeight="1">
      <x:c r="A1" s="34" t="str">
        <x:v>Mean-Variance Portfolio Optimization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</x:row>
    <x:row r="3">
      <x:c r="A3" s="38" t="str">
        <x:v>Asset</x:v>
      </x:c>
      <x:c r="B3" s="38" t="str">
        <x:v>G Weight</x:v>
      </x:c>
      <x:c r="C3" s="38" t="str">
        <x:v>P Weight</x:v>
      </x:c>
      <x:c r="D3" s="48"/>
      <x:c r="E3" s="38" t="str">
        <x:v>Portfolio</x:v>
      </x:c>
      <x:c r="F3" s="38" t="str">
        <x:v>Monthly Risk Premium (%)</x:v>
      </x:c>
      <x:c r="G3" s="38" t="str">
        <x:v>Monthly SD (%)</x:v>
      </x:c>
      <x:c r="H3" s="38" t="str">
        <x:v>Monthly Sharpe</x:v>
      </x:c>
      <x:c r="I3" s="48"/>
      <x:c r="J3" s="48"/>
      <x:c r="K3" s="48"/>
      <x:c r="L3" s="48"/>
      <x:c r="M3" s="48"/>
    </x:row>
    <x:row r="4">
      <x:c r="A4" s="48" t="str">
        <x:v>CI</x:v>
      </x:c>
      <x:c r="B4" s="64" t="n">
        <x:v>0.11860511882448017</x:v>
      </x:c>
      <x:c r="C4" s="64" t="n">
        <x:v>0.34596290408537844</x:v>
      </x:c>
      <x:c r="D4" s="48"/>
      <x:c r="E4" s="48" t="str">
        <x:v>Global minimum-variance (G)</x:v>
      </x:c>
      <x:c r="F4" s="60" t="n">
        <x:v>0.7709</x:v>
      </x:c>
      <x:c r="G4" s="60" t="n">
        <x:v>4.2409</x:v>
      </x:c>
      <x:c r="H4" s="60" t="n">
        <x:v>0.1818</x:v>
      </x:c>
      <x:c r="I4" s="48"/>
      <x:c r="J4" s="48"/>
      <x:c r="K4" s="48"/>
      <x:c r="L4" s="48"/>
      <x:c r="M4" s="48"/>
    </x:row>
    <x:row r="5">
      <x:c r="A5" s="48" t="str">
        <x:v>F</x:v>
      </x:c>
      <x:c r="B5" s="64" t="n">
        <x:v>0.03772504185077163</x:v>
      </x:c>
      <x:c r="C5" s="64" t="n">
        <x:v>-0.09517190633191173</x:v>
      </x:c>
      <x:c r="D5" s="48"/>
      <x:c r="E5" s="48" t="str">
        <x:v>Maximum-Sharpe / optimal risky (P)</x:v>
      </x:c>
      <x:c r="F5" s="60" t="n">
        <x:v>1.5874</x:v>
      </x:c>
      <x:c r="G5" s="60" t="n">
        <x:v>6.0855</x:v>
      </x:c>
      <x:c r="H5" s="60" t="n">
        <x:v>0.2609</x:v>
      </x:c>
      <x:c r="I5" s="48"/>
      <x:c r="J5" s="48"/>
      <x:c r="K5" s="48"/>
      <x:c r="L5" s="48"/>
      <x:c r="M5" s="48"/>
    </x:row>
    <x:row r="6">
      <x:c r="A6" s="48" t="str">
        <x:v>IBM</x:v>
      </x:c>
      <x:c r="B6" s="64" t="n">
        <x:v>0.10829244760831987</x:v>
      </x:c>
      <x:c r="C6" s="64" t="n">
        <x:v>-0.17750714540912496</x:v>
      </x:c>
      <x:c r="D6" s="48"/>
      <x:c r="E6" s="48"/>
      <x:c r="F6" s="48"/>
      <x:c r="G6" s="48"/>
      <x:c r="H6" s="48"/>
      <x:c r="I6" s="48"/>
      <x:c r="J6" s="48"/>
      <x:c r="K6" s="48"/>
      <x:c r="L6" s="48"/>
      <x:c r="M6" s="48"/>
    </x:row>
    <x:row r="7">
      <x:c r="A7" s="48" t="str">
        <x:v>JNJ</x:v>
      </x:c>
      <x:c r="B7" s="64" t="n">
        <x:v>0.6911301911069627</x:v>
      </x:c>
      <x:c r="C7" s="64" t="n">
        <x:v>0.35626107140623087</x:v>
      </x:c>
      <x:c r="D7" s="48"/>
      <x:c r="E7" s="48"/>
      <x:c r="F7" s="48"/>
      <x:c r="G7" s="48"/>
      <x:c r="H7" s="48"/>
      <x:c r="I7" s="48"/>
      <x:c r="J7" s="48"/>
      <x:c r="K7" s="48"/>
      <x:c r="L7" s="48"/>
      <x:c r="M7" s="48"/>
    </x:row>
    <x:row r="8">
      <x:c r="A8" s="48" t="str">
        <x:v>MU</x:v>
      </x:c>
      <x:c r="B8" s="64" t="n">
        <x:v>0.0640472251599455</x:v>
      </x:c>
      <x:c r="C8" s="64" t="n">
        <x:v>0.2618722025046561</x:v>
      </x:c>
      <x:c r="D8" s="48"/>
      <x:c r="E8" s="48"/>
      <x:c r="F8" s="48"/>
      <x:c r="G8" s="48"/>
      <x:c r="H8" s="48"/>
      <x:c r="I8" s="48"/>
      <x:c r="J8" s="48"/>
      <x:c r="K8" s="48"/>
      <x:c r="L8" s="48"/>
      <x:c r="M8" s="48"/>
    </x:row>
    <x:row r="9">
      <x:c r="A9" s="48" t="str">
        <x:v>SHW</x:v>
      </x:c>
      <x:c r="B9" s="64" t="n">
        <x:v>-0.007685931281136554</x:v>
      </x:c>
      <x:c r="C9" s="64" t="n">
        <x:v>0.3909571109677573</x:v>
      </x:c>
      <x:c r="D9" s="48"/>
      <x:c r="E9" s="48"/>
      <x:c r="F9" s="48"/>
      <x:c r="G9" s="48"/>
      <x:c r="H9" s="48"/>
      <x:c r="I9" s="48"/>
      <x:c r="J9" s="48"/>
      <x:c r="K9" s="48"/>
      <x:c r="L9" s="48"/>
      <x:c r="M9" s="48"/>
    </x:row>
    <x:row r="10">
      <x:c r="A10" s="48" t="str">
        <x:v>WBD</x:v>
      </x:c>
      <x:c r="B10" s="64" t="n">
        <x:v>0.004643724002201447</x:v>
      </x:c>
      <x:c r="C10" s="64" t="n">
        <x:v>-0.2329414690581724</x:v>
      </x:c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</x:row>
    <x:row r="11">
      <x:c r="A11" s="48" t="str">
        <x:v>XOM</x:v>
      </x:c>
      <x:c r="B11" s="64" t="n">
        <x:v>-0.016757817271544694</x:v>
      </x:c>
      <x:c r="C11" s="64" t="n">
        <x:v>0.1505672318351861</x:v>
      </x:c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</x:row>
    <x:row r="12">
      <x:c r="A12" s="49" t="str">
        <x:v>Sum of weights</x:v>
      </x:c>
      <x:c r="B12" s="64" t="n">
        <x:f>SUM(B4:B11)</x:f>
        <x:v>1</x:v>
      </x:c>
      <x:c r="C12" s="64" t="n">
        <x:f>SUM(C4:C11)</x:f>
        <x:v>0.9999999999999996</x:v>
      </x:c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</x:row>
    <x:row r="13">
      <x:c r="A13" s="49" t="str">
        <x:v>Gross exposure</x:v>
      </x:c>
      <x:c r="B13" s="64" t="n">
        <x:f>ABS(B4)+ABS(B5)+ABS(B6)+ABS(B7)+ABS(B8)+ABS(B9)+ABS(B10)+ABS(B11)</x:f>
        <x:v>1.0488874971053628</x:v>
      </x:c>
      <x:c r="C13" s="64" t="n">
        <x:f>ABS(C4)+ABS(C5)+ABS(C6)+ABS(C7)+ABS(C8)+ABS(C9)+ABS(C10)+ABS(C11)</x:f>
        <x:v>2.0112410415984177</x:v>
      </x:c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</x:row>
    <x:row r="14">
      <x:c r="A14" s="49" t="str">
        <x:v>Short exposure</x:v>
      </x:c>
      <x:c r="B14" s="64" t="n">
        <x:f>-SUMIF(B4:B11,"&lt;0",B4:B11)</x:f>
        <x:v>0.02444374855268125</x:v>
      </x:c>
      <x:c r="C14" s="64" t="n">
        <x:f>-SUMIF(C4:C11,"&lt;0",C4:C11)</x:f>
        <x:v>0.505620520799209</x:v>
      </x:c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</x:row>
    <x:row r="17">
      <x:c r="A17" s="38" t="str">
        <x:v>Portfolio</x:v>
      </x:c>
      <x:c r="B17" s="38" t="str">
        <x:v>Risk Premium (%)</x:v>
      </x:c>
      <x:c r="C17" s="38" t="str">
        <x:v>SD (%)</x:v>
      </x:c>
      <x:c r="D17" s="38" t="str">
        <x:v>Sharpe</x:v>
      </x:c>
      <x:c r="E17" s="38" t="str">
        <x:v>CI</x:v>
      </x:c>
      <x:c r="F17" s="38" t="str">
        <x:v>F</x:v>
      </x:c>
      <x:c r="G17" s="38" t="str">
        <x:v>IBM</x:v>
      </x:c>
      <x:c r="H17" s="38" t="str">
        <x:v>JNJ</x:v>
      </x:c>
      <x:c r="I17" s="38" t="str">
        <x:v>MU</x:v>
      </x:c>
      <x:c r="J17" s="38" t="str">
        <x:v>SHW</x:v>
      </x:c>
      <x:c r="K17" s="38" t="str">
        <x:v>WBD</x:v>
      </x:c>
      <x:c r="L17" s="38" t="str">
        <x:v>XOM</x:v>
      </x:c>
      <x:c r="M17" s="38"/>
    </x:row>
    <x:row r="18">
      <x:c r="A18" s="48" t="str">
        <x:v>Equal weight</x:v>
      </x:c>
      <x:c r="B18" s="60" t="n">
        <x:v>0.8288</x:v>
      </x:c>
      <x:c r="C18" s="60" t="n">
        <x:v>5.649</x:v>
      </x:c>
      <x:c r="D18" s="60" t="n">
        <x:v>0.1467</x:v>
      </x:c>
      <x:c r="E18" s="60" t="n">
        <x:v>0.125</x:v>
      </x:c>
      <x:c r="F18" s="60" t="n">
        <x:v>0.125</x:v>
      </x:c>
      <x:c r="G18" s="60" t="n">
        <x:v>0.125</x:v>
      </x:c>
      <x:c r="H18" s="60" t="n">
        <x:v>0.125</x:v>
      </x:c>
      <x:c r="I18" s="60" t="n">
        <x:v>0.125</x:v>
      </x:c>
      <x:c r="J18" s="60" t="n">
        <x:v>0.125</x:v>
      </x:c>
      <x:c r="K18" s="60" t="n">
        <x:v>0.125</x:v>
      </x:c>
      <x:c r="L18" s="60" t="n">
        <x:v>0.125</x:v>
      </x:c>
      <x:c r="M18" s="60"/>
    </x:row>
    <x:row r="19">
      <x:c r="A19" s="48" t="str">
        <x:v>P1</x:v>
      </x:c>
      <x:c r="B19" s="60" t="n">
        <x:v>0.6076</x:v>
      </x:c>
      <x:c r="C19" s="60" t="n">
        <x:v>4.3298</x:v>
      </x:c>
      <x:c r="D19" s="60" t="n">
        <x:v>0.1403</x:v>
      </x:c>
      <x:c r="E19" s="60" t="n">
        <x:v>0.0732</x:v>
      </x:c>
      <x:c r="F19" s="60" t="n">
        <x:v>0.0642</x:v>
      </x:c>
      <x:c r="G19" s="60" t="n">
        <x:v>0.1654</x:v>
      </x:c>
      <x:c r="H19" s="60" t="n">
        <x:v>0.7585</x:v>
      </x:c>
      <x:c r="I19" s="60" t="n">
        <x:v>0.0246</x:v>
      </x:c>
      <x:c r="J19" s="60" t="n">
        <x:v>-0.0875</x:v>
      </x:c>
      <x:c r="K19" s="60" t="n">
        <x:v>0.0522</x:v>
      </x:c>
      <x:c r="L19" s="60" t="n">
        <x:v>-0.0506</x:v>
      </x:c>
      <x:c r="M19" s="60"/>
    </x:row>
    <x:row r="20">
      <x:c r="A20" s="48" t="str">
        <x:v>G</x:v>
      </x:c>
      <x:c r="B20" s="60" t="n">
        <x:v>0.7709</x:v>
      </x:c>
      <x:c r="C20" s="60" t="n">
        <x:v>4.2409</x:v>
      </x:c>
      <x:c r="D20" s="60" t="n">
        <x:v>0.1818</x:v>
      </x:c>
      <x:c r="E20" s="60" t="n">
        <x:v>0.11860511882448017</x:v>
      </x:c>
      <x:c r="F20" s="60" t="n">
        <x:v>0.03772504185077163</x:v>
      </x:c>
      <x:c r="G20" s="60" t="n">
        <x:v>0.10829244760831987</x:v>
      </x:c>
      <x:c r="H20" s="60" t="n">
        <x:v>0.6911301911069627</x:v>
      </x:c>
      <x:c r="I20" s="60" t="n">
        <x:v>0.0640472251599455</x:v>
      </x:c>
      <x:c r="J20" s="60" t="n">
        <x:v>-0.007685931281136554</x:v>
      </x:c>
      <x:c r="K20" s="60" t="n">
        <x:v>0.004643724002201447</x:v>
      </x:c>
      <x:c r="L20" s="60" t="n">
        <x:v>-0.016757817271544694</x:v>
      </x:c>
      <x:c r="M20" s="60"/>
    </x:row>
    <x:row r="21">
      <x:c r="A21" s="48" t="str">
        <x:v>P3</x:v>
      </x:c>
      <x:c r="B21" s="60" t="n">
        <x:v>0.9342</x:v>
      </x:c>
      <x:c r="C21" s="60" t="n">
        <x:v>4.3298</x:v>
      </x:c>
      <x:c r="D21" s="60" t="n">
        <x:v>0.2158</x:v>
      </x:c>
      <x:c r="E21" s="60" t="n">
        <x:v>0.1641</x:v>
      </x:c>
      <x:c r="F21" s="60" t="n">
        <x:v>0.0111</x:v>
      </x:c>
      <x:c r="G21" s="60" t="n">
        <x:v>0.0511</x:v>
      </x:c>
      <x:c r="H21" s="60" t="n">
        <x:v>0.6242</x:v>
      </x:c>
      <x:c r="I21" s="60" t="n">
        <x:v>0.1036</x:v>
      </x:c>
      <x:c r="J21" s="60" t="n">
        <x:v>0.072</x:v>
      </x:c>
      <x:c r="K21" s="60" t="n">
        <x:v>-0.0429</x:v>
      </x:c>
      <x:c r="L21" s="60" t="n">
        <x:v>0.0167</x:v>
      </x:c>
      <x:c r="M21" s="60"/>
    </x:row>
    <x:row r="22">
      <x:c r="A22" s="48" t="str">
        <x:v>P4</x:v>
      </x:c>
      <x:c r="B22" s="60" t="n">
        <x:v>1.0975</x:v>
      </x:c>
      <x:c r="C22" s="60" t="n">
        <x:v>4.5862</x:v>
      </x:c>
      <x:c r="D22" s="60" t="n">
        <x:v>0.2393</x:v>
      </x:c>
      <x:c r="E22" s="60" t="n">
        <x:v>0.2095</x:v>
      </x:c>
      <x:c r="F22" s="60" t="n">
        <x:v>-0.0154</x:v>
      </x:c>
      <x:c r="G22" s="60" t="n">
        <x:v>-0.006</x:v>
      </x:c>
      <x:c r="H22" s="60" t="n">
        <x:v>0.5572</x:v>
      </x:c>
      <x:c r="I22" s="60" t="n">
        <x:v>0.1432</x:v>
      </x:c>
      <x:c r="J22" s="60" t="n">
        <x:v>0.1518</x:v>
      </x:c>
      <x:c r="K22" s="60" t="n">
        <x:v>-0.0904</x:v>
      </x:c>
      <x:c r="L22" s="60" t="n">
        <x:v>0.0502</x:v>
      </x:c>
      <x:c r="M22" s="60"/>
    </x:row>
    <x:row r="23">
      <x:c r="A23" s="48" t="str">
        <x:v>P5</x:v>
      </x:c>
      <x:c r="B23" s="60" t="n">
        <x:v>1.2608</x:v>
      </x:c>
      <x:c r="C23" s="60" t="n">
        <x:v>4.9842</x:v>
      </x:c>
      <x:c r="D23" s="60" t="n">
        <x:v>0.253</x:v>
      </x:c>
      <x:c r="E23" s="60" t="n">
        <x:v>0.255</x:v>
      </x:c>
      <x:c r="F23" s="60" t="n">
        <x:v>-0.042</x:v>
      </x:c>
      <x:c r="G23" s="60" t="n">
        <x:v>-0.0632</x:v>
      </x:c>
      <x:c r="H23" s="60" t="n">
        <x:v>0.4902</x:v>
      </x:c>
      <x:c r="I23" s="60" t="n">
        <x:v>0.1827</x:v>
      </x:c>
      <x:c r="J23" s="60" t="n">
        <x:v>0.2315</x:v>
      </x:c>
      <x:c r="K23" s="60" t="n">
        <x:v>-0.1379</x:v>
      </x:c>
      <x:c r="L23" s="60" t="n">
        <x:v>0.0836</x:v>
      </x:c>
      <x:c r="M23" s="60"/>
    </x:row>
    <x:row r="24">
      <x:c r="A24" s="48" t="str">
        <x:v>P6</x:v>
      </x:c>
      <x:c r="B24" s="60" t="n">
        <x:v>1.4241</x:v>
      </x:c>
      <x:c r="C24" s="60" t="n">
        <x:v>5.4933</x:v>
      </x:c>
      <x:c r="D24" s="60" t="n">
        <x:v>0.2592</x:v>
      </x:c>
      <x:c r="E24" s="60" t="n">
        <x:v>0.3005</x:v>
      </x:c>
      <x:c r="F24" s="60" t="n">
        <x:v>-0.0686</x:v>
      </x:c>
      <x:c r="G24" s="60" t="n">
        <x:v>-0.1203</x:v>
      </x:c>
      <x:c r="H24" s="60" t="n">
        <x:v>0.4232</x:v>
      </x:c>
      <x:c r="I24" s="60" t="n">
        <x:v>0.2223</x:v>
      </x:c>
      <x:c r="J24" s="60" t="n">
        <x:v>0.3112</x:v>
      </x:c>
      <x:c r="K24" s="60" t="n">
        <x:v>-0.1854</x:v>
      </x:c>
      <x:c r="L24" s="60" t="n">
        <x:v>0.1171</x:v>
      </x:c>
      <x:c r="M24" s="60"/>
    </x:row>
    <x:row r="25">
      <x:c r="A25" s="48" t="str">
        <x:v>P</x:v>
      </x:c>
      <x:c r="B25" s="60" t="n">
        <x:v>1.5874</x:v>
      </x:c>
      <x:c r="C25" s="60" t="n">
        <x:v>6.0855</x:v>
      </x:c>
      <x:c r="D25" s="60" t="n">
        <x:v>0.2609</x:v>
      </x:c>
      <x:c r="E25" s="60" t="n">
        <x:v>0.34596290408537844</x:v>
      </x:c>
      <x:c r="F25" s="60" t="n">
        <x:v>-0.09517190633191173</x:v>
      </x:c>
      <x:c r="G25" s="60" t="n">
        <x:v>-0.17750714540912496</x:v>
      </x:c>
      <x:c r="H25" s="60" t="n">
        <x:v>0.35626107140623087</x:v>
      </x:c>
      <x:c r="I25" s="60" t="n">
        <x:v>0.2618722025046561</x:v>
      </x:c>
      <x:c r="J25" s="60" t="n">
        <x:v>0.3909571109677573</x:v>
      </x:c>
      <x:c r="K25" s="60" t="n">
        <x:v>-0.2329414690581724</x:v>
      </x:c>
      <x:c r="L25" s="60" t="n">
        <x:v>0.1505672318351861</x:v>
      </x:c>
      <x:c r="M25" s="60"/>
    </x:row>
    <x:row r="26">
      <x:c r="A26" s="48" t="str">
        <x:v>P8</x:v>
      </x:c>
      <x:c r="B26" s="60" t="n">
        <x:v>1.7507</x:v>
      </x:c>
      <x:c r="C26" s="60" t="n">
        <x:v>6.739</x:v>
      </x:c>
      <x:c r="D26" s="60" t="n">
        <x:v>0.2598</x:v>
      </x:c>
      <x:c r="E26" s="60" t="n">
        <x:v>0.3914</x:v>
      </x:c>
      <x:c r="F26" s="60" t="n">
        <x:v>-0.1218</x:v>
      </x:c>
      <x:c r="G26" s="60" t="n">
        <x:v>-0.2347</x:v>
      </x:c>
      <x:c r="H26" s="60" t="n">
        <x:v>0.2893</x:v>
      </x:c>
      <x:c r="I26" s="60" t="n">
        <x:v>0.3014</x:v>
      </x:c>
      <x:c r="J26" s="60" t="n">
        <x:v>0.4707</x:v>
      </x:c>
      <x:c r="K26" s="60" t="n">
        <x:v>-0.2805</x:v>
      </x:c>
      <x:c r="L26" s="60" t="n">
        <x:v>0.184</x:v>
      </x:c>
      <x:c r="M26" s="60"/>
    </x:row>
    <x:row r="27">
      <x:c r="A27" s="48" t="str">
        <x:v>P9</x:v>
      </x:c>
      <x:c r="B27" s="60" t="n">
        <x:v>1.914</x:v>
      </x:c>
      <x:c r="C27" s="60" t="n">
        <x:v>7.4377</x:v>
      </x:c>
      <x:c r="D27" s="60" t="n">
        <x:v>0.2573</x:v>
      </x:c>
      <x:c r="E27" s="60" t="n">
        <x:v>0.4369</x:v>
      </x:c>
      <x:c r="F27" s="60" t="n">
        <x:v>-0.1484</x:v>
      </x:c>
      <x:c r="G27" s="60" t="n">
        <x:v>-0.292</x:v>
      </x:c>
      <x:c r="H27" s="60" t="n">
        <x:v>0.2225</x:v>
      </x:c>
      <x:c r="I27" s="60" t="n">
        <x:v>0.341</x:v>
      </x:c>
      <x:c r="J27" s="60" t="n">
        <x:v>0.5504</x:v>
      </x:c>
      <x:c r="K27" s="60" t="n">
        <x:v>-0.328</x:v>
      </x:c>
      <x:c r="L27" s="60" t="n">
        <x:v>0.2175</x:v>
      </x:c>
      <x:c r="M27" s="60"/>
    </x:row>
    <x:row r="28">
      <x:c r="A28" s="48" t="str">
        <x:v>P10</x:v>
      </x:c>
      <x:c r="B28" s="60" t="n">
        <x:v>2.0773</x:v>
      </x:c>
      <x:c r="C28" s="60" t="n">
        <x:v>8.1699</x:v>
      </x:c>
      <x:c r="D28" s="60" t="n">
        <x:v>0.2543</x:v>
      </x:c>
      <x:c r="E28" s="60" t="n">
        <x:v>0.4824</x:v>
      </x:c>
      <x:c r="F28" s="60" t="n">
        <x:v>-0.1749</x:v>
      </x:c>
      <x:c r="G28" s="60" t="n">
        <x:v>-0.349</x:v>
      </x:c>
      <x:c r="H28" s="60" t="n">
        <x:v>0.1553</x:v>
      </x:c>
      <x:c r="I28" s="60" t="n">
        <x:v>0.3806</x:v>
      </x:c>
      <x:c r="J28" s="60" t="n">
        <x:v>0.6301</x:v>
      </x:c>
      <x:c r="K28" s="60" t="n">
        <x:v>-0.3755</x:v>
      </x:c>
      <x:c r="L28" s="60" t="n">
        <x:v>0.251</x:v>
      </x:c>
      <x:c r="M28" s="60"/>
    </x:row>
  </x:sheetData>
  <x:mergeCells>
    <x:mergeCell ref="A1:M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34" t="str">
        <x:v>Monthly Factor and Return Data</x:v>
      </x:c>
      <x:c r="B1" s="34"/>
      <x:c r="C1" s="34"/>
      <x:c r="D1" s="34"/>
      <x:c r="E1" s="34"/>
      <x:c r="F1" s="34"/>
      <x:c r="G1" s="34"/>
      <x:c r="H1" s="34"/>
      <x:c r="I1" s="34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</x:row>
    <x:row r="3">
      <x:c r="A3" s="38" t="str">
        <x:v>Date</x:v>
      </x:c>
      <x:c r="B3" s="38" t="str">
        <x:v>MktRF</x:v>
      </x:c>
      <x:c r="C3" s="38" t="str">
        <x:v>SMB</x:v>
      </x:c>
      <x:c r="D3" s="38" t="str">
        <x:v>HML</x:v>
      </x:c>
      <x:c r="E3" s="38" t="str">
        <x:v>Rf</x:v>
      </x:c>
      <x:c r="F3" s="38" t="str">
        <x:v>Mom</x:v>
      </x:c>
      <x:c r="G3" s="38" t="str">
        <x:v>ExcessOP</x:v>
      </x:c>
      <x:c r="H3" s="38" t="str">
        <x:v>ExcessSP500</x:v>
      </x:c>
      <x:c r="I3" s="38" t="str">
        <x:v>JNJ</x:v>
      </x:c>
    </x:row>
    <x:row r="4">
      <x:c r="A4" s="48" t="n">
        <x:v>201501</x:v>
      </x:c>
      <x:c r="B4" s="60" t="n">
        <x:v>-3.11</x:v>
      </x:c>
      <x:c r="C4" s="60" t="n">
        <x:v>-0.56</x:v>
      </x:c>
      <x:c r="D4" s="60" t="n">
        <x:v>-3.58</x:v>
      </x:c>
      <x:c r="E4" s="60" t="n">
        <x:v>0</x:v>
      </x:c>
      <x:c r="F4" s="60" t="n">
        <x:v>3.84</x:v>
      </x:c>
      <x:c r="G4" s="60" t="n">
        <x:v>4.268945</x:v>
      </x:c>
      <x:c r="H4" s="60" t="n">
        <x:v>5.489250572684575</x:v>
      </x:c>
      <x:c r="I4" s="60" t="n">
        <x:v>2.366670113423576</x:v>
      </x:c>
    </x:row>
    <x:row r="5">
      <x:c r="A5" s="48" t="n">
        <x:v>201502</x:v>
      </x:c>
      <x:c r="B5" s="60" t="n">
        <x:v>6.13</x:v>
      </x:c>
      <x:c r="C5" s="60" t="n">
        <x:v>0.63</x:v>
      </x:c>
      <x:c r="D5" s="60" t="n">
        <x:v>-1.86</x:v>
      </x:c>
      <x:c r="E5" s="60" t="n">
        <x:v>0</x:v>
      </x:c>
      <x:c r="F5" s="60" t="n">
        <x:v>-2.82</x:v>
      </x:c>
      <x:c r="G5" s="60" t="n">
        <x:v>-0.45719</x:v>
      </x:c>
      <x:c r="H5" s="60" t="n">
        <x:v>-1.7396056070325554</x:v>
      </x:c>
      <x:c r="I5" s="60" t="n">
        <x:v>-1.176280388754267</x:v>
      </x:c>
    </x:row>
    <x:row r="6">
      <x:c r="A6" s="48" t="n">
        <x:v>201503</x:v>
      </x:c>
      <x:c r="B6" s="60" t="n">
        <x:v>-1.12</x:v>
      </x:c>
      <x:c r="C6" s="60" t="n">
        <x:v>3.04</x:v>
      </x:c>
      <x:c r="D6" s="60" t="n">
        <x:v>-0.37</x:v>
      </x:c>
      <x:c r="E6" s="60" t="n">
        <x:v>0</x:v>
      </x:c>
      <x:c r="F6" s="60" t="n">
        <x:v>2.74</x:v>
      </x:c>
      <x:c r="G6" s="60" t="n">
        <x:v>-3.48023</x:v>
      </x:c>
      <x:c r="H6" s="60" t="n">
        <x:v>0.8520762709815487</x:v>
      </x:c>
      <x:c r="I6" s="60" t="n">
        <x:v>-1.3916813095641833</x:v>
      </x:c>
    </x:row>
    <x:row r="7">
      <x:c r="A7" s="48" t="n">
        <x:v>201504</x:v>
      </x:c>
      <x:c r="B7" s="60" t="n">
        <x:v>0.59</x:v>
      </x:c>
      <x:c r="C7" s="60" t="n">
        <x:v>-3.06</x:v>
      </x:c>
      <x:c r="D7" s="60" t="n">
        <x:v>1.82</x:v>
      </x:c>
      <x:c r="E7" s="60" t="n">
        <x:v>0</x:v>
      </x:c>
      <x:c r="F7" s="60" t="n">
        <x:v>-7.27</x:v>
      </x:c>
      <x:c r="G7" s="60" t="n">
        <x:v>5.029716</x:v>
      </x:c>
      <x:c r="H7" s="60" t="n">
        <x:v>1.0491438545008007</x:v>
      </x:c>
      <x:c r="I7" s="60" t="n">
        <x:v>0.9476116940440436</x:v>
      </x:c>
    </x:row>
    <x:row r="8">
      <x:c r="A8" s="48" t="n">
        <x:v>201505</x:v>
      </x:c>
      <x:c r="B8" s="60" t="n">
        <x:v>1.36</x:v>
      </x:c>
      <x:c r="C8" s="60" t="n">
        <x:v>0.93</x:v>
      </x:c>
      <x:c r="D8" s="60" t="n">
        <x:v>-1.14</x:v>
      </x:c>
      <x:c r="E8" s="60" t="n">
        <x:v>0</x:v>
      </x:c>
      <x:c r="F8" s="60" t="n">
        <x:v>5.82</x:v>
      </x:c>
      <x:c r="G8" s="60" t="n">
        <x:v>-4.78424</x:v>
      </x:c>
      <x:c r="H8" s="60" t="n">
        <x:v>-2.101177285647163</x:v>
      </x:c>
      <x:c r="I8" s="60" t="n">
        <x:v>-1.966544920568071</x:v>
      </x:c>
    </x:row>
    <x:row r="9">
      <x:c r="A9" s="48" t="n">
        <x:v>201506</x:v>
      </x:c>
      <x:c r="B9" s="60" t="n">
        <x:v>-1.53</x:v>
      </x:c>
      <x:c r="C9" s="60" t="n">
        <x:v>2.91</x:v>
      </x:c>
      <x:c r="D9" s="60" t="n">
        <x:v>-0.79</x:v>
      </x:c>
      <x:c r="E9" s="60" t="n">
        <x:v>0</x:v>
      </x:c>
      <x:c r="F9" s="60" t="n">
        <x:v>3.01</x:v>
      </x:c>
      <x:c r="G9" s="60" t="n">
        <x:v>-3.26234</x:v>
      </x:c>
      <x:c r="H9" s="60" t="n">
        <x:v>1.9742039930008586</x:v>
      </x:c>
      <x:c r="I9" s="60" t="n">
        <x:v>2.8216736368040345</x:v>
      </x:c>
    </x:row>
    <x:row r="10">
      <x:c r="A10" s="48" t="n">
        <x:v>201507</x:v>
      </x:c>
      <x:c r="B10" s="60" t="n">
        <x:v>1.54</x:v>
      </x:c>
      <x:c r="C10" s="60" t="n">
        <x:v>-4.17</x:v>
      </x:c>
      <x:c r="D10" s="60" t="n">
        <x:v>-4.13</x:v>
      </x:c>
      <x:c r="E10" s="60" t="n">
        <x:v>0</x:v>
      </x:c>
      <x:c r="F10" s="60" t="n">
        <x:v>9.98</x:v>
      </x:c>
      <x:c r="G10" s="60" t="n">
        <x:v>-3.21798</x:v>
      </x:c>
      <x:c r="H10" s="60" t="n">
        <x:v>-6.258080462392581</x:v>
      </x:c>
      <x:c r="I10" s="60" t="n">
        <x:v>-6.216954426385573</x:v>
      </x:c>
    </x:row>
    <x:row r="11">
      <x:c r="A11" s="48" t="n">
        <x:v>201508</x:v>
      </x:c>
      <x:c r="B11" s="60" t="n">
        <x:v>-6.04</x:v>
      </x:c>
      <x:c r="C11" s="60" t="n">
        <x:v>0.33</x:v>
      </x:c>
      <x:c r="D11" s="60" t="n">
        <x:v>2.77</x:v>
      </x:c>
      <x:c r="E11" s="60" t="n">
        <x:v>0</x:v>
      </x:c>
      <x:c r="F11" s="60" t="n">
        <x:v>-2.09</x:v>
      </x:c>
      <x:c r="G11" s="60" t="n">
        <x:v>-7.76044</x:v>
      </x:c>
      <x:c r="H11" s="60" t="n">
        <x:v>-2.6442819620927143</x:v>
      </x:c>
      <x:c r="I11" s="60" t="n">
        <x:v>0.08951589425256459</x:v>
      </x:c>
    </x:row>
    <x:row r="12">
      <x:c r="A12" s="48" t="n">
        <x:v>201509</x:v>
      </x:c>
      <x:c r="B12" s="60" t="n">
        <x:v>-3.07</x:v>
      </x:c>
      <x:c r="C12" s="60" t="n">
        <x:v>-2.62</x:v>
      </x:c>
      <x:c r="D12" s="60" t="n">
        <x:v>0.56</x:v>
      </x:c>
      <x:c r="E12" s="60" t="n">
        <x:v>0</x:v>
      </x:c>
      <x:c r="F12" s="60" t="n">
        <x:v>5.22</x:v>
      </x:c>
      <x:c r="G12" s="60" t="n">
        <x:v>11.55095</x:v>
      </x:c>
      <x:c r="H12" s="60" t="n">
        <x:v>8.298307838940024</x:v>
      </x:c>
      <x:c r="I12" s="60" t="n">
        <x:v>8.227112063482966</x:v>
      </x:c>
    </x:row>
    <x:row r="13">
      <x:c r="A13" s="48" t="n">
        <x:v>201510</x:v>
      </x:c>
      <x:c r="B13" s="60" t="n">
        <x:v>7.75</x:v>
      </x:c>
      <x:c r="C13" s="60" t="n">
        <x:v>-1.88</x:v>
      </x:c>
      <x:c r="D13" s="60" t="n">
        <x:v>-0.46</x:v>
      </x:c>
      <x:c r="E13" s="60" t="n">
        <x:v>0</x:v>
      </x:c>
      <x:c r="F13" s="60" t="n">
        <x:v>-3.28</x:v>
      </x:c>
      <x:c r="G13" s="60" t="n">
        <x:v>-0.56872</x:v>
      </x:c>
      <x:c r="H13" s="60" t="n">
        <x:v>0.05049630655585022</x:v>
      </x:c>
      <x:c r="I13" s="60" t="n">
        <x:v>0.20782131213645752</x:v>
      </x:c>
    </x:row>
    <x:row r="14">
      <x:c r="A14" s="48" t="n">
        <x:v>201511</x:v>
      </x:c>
      <x:c r="B14" s="60" t="n">
        <x:v>0.56</x:v>
      </x:c>
      <x:c r="C14" s="60" t="n">
        <x:v>3.6</x:v>
      </x:c>
      <x:c r="D14" s="60" t="n">
        <x:v>-0.42</x:v>
      </x:c>
      <x:c r="E14" s="60" t="n">
        <x:v>0</x:v>
      </x:c>
      <x:c r="F14" s="60" t="n">
        <x:v>2.28</x:v>
      </x:c>
      <x:c r="G14" s="60" t="n">
        <x:v>1.547827</x:v>
      </x:c>
      <x:c r="H14" s="60" t="n">
        <x:v>-1.7530198374358805</x:v>
      </x:c>
      <x:c r="I14" s="60" t="n">
        <x:v>2.2098232254858337</x:v>
      </x:c>
    </x:row>
    <x:row r="15">
      <x:c r="A15" s="48" t="n">
        <x:v>201512</x:v>
      </x:c>
      <x:c r="B15" s="60" t="n">
        <x:v>-2.17</x:v>
      </x:c>
      <x:c r="C15" s="60" t="n">
        <x:v>-2.84</x:v>
      </x:c>
      <x:c r="D15" s="60" t="n">
        <x:v>-2.61</x:v>
      </x:c>
      <x:c r="E15" s="60" t="n">
        <x:v>0.01</x:v>
      </x:c>
      <x:c r="F15" s="60" t="n">
        <x:v>3.36</x:v>
      </x:c>
      <x:c r="G15" s="60" t="n">
        <x:v>-6.51076</x:v>
      </x:c>
      <x:c r="H15" s="60" t="n">
        <x:v>-5.083534448173628</x:v>
      </x:c>
      <x:c r="I15" s="60" t="n">
        <x:v>1.6644816225057535</x:v>
      </x:c>
    </x:row>
    <x:row r="16">
      <x:c r="A16" s="48" t="n">
        <x:v>201601</x:v>
      </x:c>
      <x:c r="B16" s="60" t="n">
        <x:v>-5.77</x:v>
      </x:c>
      <x:c r="C16" s="60" t="n">
        <x:v>-3.42</x:v>
      </x:c>
      <x:c r="D16" s="60" t="n">
        <x:v>2.09</x:v>
      </x:c>
      <x:c r="E16" s="60" t="n">
        <x:v>0.01</x:v>
      </x:c>
      <x:c r="F16" s="60" t="n">
        <x:v>1.44</x:v>
      </x:c>
      <x:c r="G16" s="60" t="n">
        <x:v>4.080224</x:v>
      </x:c>
      <x:c r="H16" s="60" t="n">
        <x:v>-0.4228355255019993</x:v>
      </x:c>
      <x:c r="I16" s="60" t="n">
        <x:v>0.7272763714677849</x:v>
      </x:c>
    </x:row>
    <x:row r="17">
      <x:c r="A17" s="48" t="n">
        <x:v>201602</x:v>
      </x:c>
      <x:c r="B17" s="60" t="n">
        <x:v>-0.07</x:v>
      </x:c>
      <x:c r="C17" s="60" t="n">
        <x:v>0.73</x:v>
      </x:c>
      <x:c r="D17" s="60" t="n">
        <x:v>-0.57</x:v>
      </x:c>
      <x:c r="E17" s="60" t="n">
        <x:v>0.02</x:v>
      </x:c>
      <x:c r="F17" s="60" t="n">
        <x:v>-4.38</x:v>
      </x:c>
      <x:c r="G17" s="60" t="n">
        <x:v>-3.86363</x:v>
      </x:c>
      <x:c r="H17" s="60" t="n">
        <x:v>6.57911087189412</x:v>
      </x:c>
      <x:c r="I17" s="60" t="n">
        <x:v>3.567218138655212</x:v>
      </x:c>
    </x:row>
    <x:row r="18">
      <x:c r="A18" s="48" t="n">
        <x:v>201603</x:v>
      </x:c>
      <x:c r="B18" s="60" t="n">
        <x:v>6.96</x:v>
      </x:c>
      <x:c r="C18" s="60" t="n">
        <x:v>0.82</x:v>
      </x:c>
      <x:c r="D18" s="60" t="n">
        <x:v>1.19</x:v>
      </x:c>
      <x:c r="E18" s="60" t="n">
        <x:v>0.02</x:v>
      </x:c>
      <x:c r="F18" s="60" t="n">
        <x:v>-5.01</x:v>
      </x:c>
      <x:c r="G18" s="60" t="n">
        <x:v>5.202285</x:v>
      </x:c>
      <x:c r="H18" s="60" t="n">
        <x:v>0.24993698233759604</x:v>
      </x:c>
      <x:c r="I18" s="60" t="n">
        <x:v>3.565953279943383</x:v>
      </x:c>
    </x:row>
    <x:row r="19">
      <x:c r="A19" s="48" t="n">
        <x:v>201604</x:v>
      </x:c>
      <x:c r="B19" s="60" t="n">
        <x:v>0.91</x:v>
      </x:c>
      <x:c r="C19" s="60" t="n">
        <x:v>0.76</x:v>
      </x:c>
      <x:c r="D19" s="60" t="n">
        <x:v>3.28</x:v>
      </x:c>
      <x:c r="E19" s="60" t="n">
        <x:v>0.01</x:v>
      </x:c>
      <x:c r="F19" s="60" t="n">
        <x:v>-6.02</x:v>
      </x:c>
      <x:c r="G19" s="60" t="n">
        <x:v>1.534045</x:v>
      </x:c>
      <x:c r="H19" s="60" t="n">
        <x:v>1.5224650171887684</x:v>
      </x:c>
      <x:c r="I19" s="60" t="n">
        <x:v>0.5342387468542449</x:v>
      </x:c>
    </x:row>
    <x:row r="20">
      <x:c r="A20" s="48" t="n">
        <x:v>201605</x:v>
      </x:c>
      <x:c r="B20" s="60" t="n">
        <x:v>1.78</x:v>
      </x:c>
      <x:c r="C20" s="60" t="n">
        <x:v>-0.17</x:v>
      </x:c>
      <x:c r="D20" s="60" t="n">
        <x:v>-1.66</x:v>
      </x:c>
      <x:c r="E20" s="60" t="n">
        <x:v>0.01</x:v>
      </x:c>
      <x:c r="F20" s="60" t="n">
        <x:v>1.42</x:v>
      </x:c>
      <x:c r="G20" s="60" t="n">
        <x:v>9.384347</x:v>
      </x:c>
      <x:c r="H20" s="60" t="n">
        <x:v>0.08108467059301887</x:v>
      </x:c>
      <x:c r="I20" s="60" t="n">
        <x:v>8.398967425196428</x:v>
      </x:c>
    </x:row>
    <x:row r="21">
      <x:c r="A21" s="48" t="n">
        <x:v>201606</x:v>
      </x:c>
      <x:c r="B21" s="60" t="n">
        <x:v>-0.05</x:v>
      </x:c>
      <x:c r="C21" s="60" t="n">
        <x:v>0.61</x:v>
      </x:c>
      <x:c r="D21" s="60" t="n">
        <x:v>-1.48</x:v>
      </x:c>
      <x:c r="E21" s="60" t="n">
        <x:v>0.02</x:v>
      </x:c>
      <x:c r="F21" s="60" t="n">
        <x:v>4.13</x:v>
      </x:c>
      <x:c r="G21" s="60" t="n">
        <x:v>0.423116</x:v>
      </x:c>
      <x:c r="H21" s="60" t="n">
        <x:v>3.5409807228685946</x:v>
      </x:c>
      <x:c r="I21" s="60" t="n">
        <x:v>3.2199245371404355</x:v>
      </x:c>
    </x:row>
    <x:row r="22">
      <x:c r="A22" s="48" t="n">
        <x:v>201607</x:v>
      </x:c>
      <x:c r="B22" s="60" t="n">
        <x:v>3.95</x:v>
      </x:c>
      <x:c r="C22" s="60" t="n">
        <x:v>2.49</x:v>
      </x:c>
      <x:c r="D22" s="60" t="n">
        <x:v>-1.32</x:v>
      </x:c>
      <x:c r="E22" s="60" t="n">
        <x:v>0.02</x:v>
      </x:c>
      <x:c r="F22" s="60" t="n">
        <x:v>-3.34</x:v>
      </x:c>
      <x:c r="G22" s="60" t="n">
        <x:v>0.705566</x:v>
      </x:c>
      <x:c r="H22" s="60" t="n">
        <x:v>-0.14191755612808662</x:v>
      </x:c>
      <x:c r="I22" s="60" t="n">
        <x:v>-4.7233671338877805</x:v>
      </x:c>
    </x:row>
    <x:row r="23">
      <x:c r="A23" s="48" t="n">
        <x:v>201608</x:v>
      </x:c>
      <x:c r="B23" s="60" t="n">
        <x:v>0.49</x:v>
      </x:c>
      <x:c r="C23" s="60" t="n">
        <x:v>1.15</x:v>
      </x:c>
      <x:c r="D23" s="60" t="n">
        <x:v>3.18</x:v>
      </x:c>
      <x:c r="E23" s="60" t="n">
        <x:v>0.02</x:v>
      </x:c>
      <x:c r="F23" s="60" t="n">
        <x:v>-3.49</x:v>
      </x:c>
      <x:c r="G23" s="60" t="n">
        <x:v>0.71319</x:v>
      </x:c>
      <x:c r="H23" s="60" t="n">
        <x:v>-0.14344825997834296</x:v>
      </x:c>
      <x:c r="I23" s="60" t="n">
        <x:v>-0.3735657604899936</x:v>
      </x:c>
    </x:row>
    <x:row r="24">
      <x:c r="A24" s="48" t="n">
        <x:v>201609</x:v>
      </x:c>
      <x:c r="B24" s="60" t="n">
        <x:v>0.25</x:v>
      </x:c>
      <x:c r="C24" s="60" t="n">
        <x:v>2.12</x:v>
      </x:c>
      <x:c r="D24" s="60" t="n">
        <x:v>-1.24</x:v>
      </x:c>
      <x:c r="E24" s="60" t="n">
        <x:v>0.02</x:v>
      </x:c>
      <x:c r="F24" s="60" t="n">
        <x:v>0.19</x:v>
      </x:c>
      <x:c r="G24" s="60" t="n">
        <x:v>-8.26922</x:v>
      </x:c>
      <x:c r="H24" s="60" t="n">
        <x:v>-1.962562503747222</x:v>
      </x:c>
      <x:c r="I24" s="60" t="n">
        <x:v>-1.8315735233760253</x:v>
      </x:c>
    </x:row>
    <x:row r="25">
      <x:c r="A25" s="48" t="n">
        <x:v>201610</x:v>
      </x:c>
      <x:c r="B25" s="60" t="n">
        <x:v>-2.02</x:v>
      </x:c>
      <x:c r="C25" s="60" t="n">
        <x:v>-4.4</x:v>
      </x:c>
      <x:c r="D25" s="60" t="n">
        <x:v>4.09</x:v>
      </x:c>
      <x:c r="E25" s="60" t="n">
        <x:v>0.02</x:v>
      </x:c>
      <x:c r="F25" s="60" t="n">
        <x:v>0.59</x:v>
      </x:c>
      <x:c r="G25" s="60" t="n">
        <x:v>9.151927</x:v>
      </x:c>
      <x:c r="H25" s="60" t="n">
        <x:v>3.3974446769983233</x:v>
      </x:c>
      <x:c r="I25" s="60" t="n">
        <x:v>-4.063439272214852</x:v>
      </x:c>
    </x:row>
    <x:row r="26">
      <x:c r="A26" s="48" t="n">
        <x:v>201611</x:v>
      </x:c>
      <x:c r="B26" s="60" t="n">
        <x:v>4.86</x:v>
      </x:c>
      <x:c r="C26" s="60" t="n">
        <x:v>5.71</x:v>
      </x:c>
      <x:c r="D26" s="60" t="n">
        <x:v>8.21</x:v>
      </x:c>
      <x:c r="E26" s="60" t="n">
        <x:v>0.01</x:v>
      </x:c>
      <x:c r="F26" s="60" t="n">
        <x:v>-4.62</x:v>
      </x:c>
      <x:c r="G26" s="60" t="n">
        <x:v>4.149903</x:v>
      </x:c>
      <x:c r="H26" s="60" t="n">
        <x:v>1.810075404423301</x:v>
      </x:c>
      <x:c r="I26" s="60" t="n">
        <x:v>4.218321527377475</x:v>
      </x:c>
    </x:row>
    <x:row r="27">
      <x:c r="A27" s="48" t="n">
        <x:v>201612</x:v>
      </x:c>
      <x:c r="B27" s="60" t="n">
        <x:v>1.82</x:v>
      </x:c>
      <x:c r="C27" s="60" t="n">
        <x:v>0.1</x:v>
      </x:c>
      <x:c r="D27" s="60" t="n">
        <x:v>3.53</x:v>
      </x:c>
      <x:c r="E27" s="60" t="n">
        <x:v>0.03</x:v>
      </x:c>
      <x:c r="F27" s="60" t="n">
        <x:v>-0.26</x:v>
      </x:c>
      <x:c r="G27" s="60" t="n">
        <x:v>7.456697</x:v>
      </x:c>
      <x:c r="H27" s="60" t="n">
        <x:v>1.7584341374735895</x:v>
      </x:c>
      <x:c r="I27" s="60" t="n">
        <x:v>-1.7312235998097705</x:v>
      </x:c>
    </x:row>
    <x:row r="28">
      <x:c r="A28" s="48" t="n">
        <x:v>201701</x:v>
      </x:c>
      <x:c r="B28" s="60" t="n">
        <x:v>1.94</x:v>
      </x:c>
      <x:c r="C28" s="60" t="n">
        <x:v>-1.19</x:v>
      </x:c>
      <x:c r="D28" s="60" t="n">
        <x:v>-2.75</x:v>
      </x:c>
      <x:c r="E28" s="60" t="n">
        <x:v>0.04</x:v>
      </x:c>
      <x:c r="F28" s="60" t="n">
        <x:v>-0.93</x:v>
      </x:c>
      <x:c r="G28" s="60" t="n">
        <x:v>1.670327</x:v>
      </x:c>
      <x:c r="H28" s="60" t="n">
        <x:v>3.6798260541408676</x:v>
      </x:c>
      <x:c r="I28" s="60" t="n">
        <x:v>7.871682858164846</x:v>
      </x:c>
    </x:row>
    <x:row r="29">
      <x:c r="A29" s="48" t="n">
        <x:v>201702</x:v>
      </x:c>
      <x:c r="B29" s="60" t="n">
        <x:v>3.57</x:v>
      </x:c>
      <x:c r="C29" s="60" t="n">
        <x:v>-2.05</x:v>
      </x:c>
      <x:c r="D29" s="60" t="n">
        <x:v>-1.67</x:v>
      </x:c>
      <x:c r="E29" s="60" t="n">
        <x:v>0.04</x:v>
      </x:c>
      <x:c r="F29" s="60" t="n">
        <x:v>-1.65</x:v>
      </x:c>
      <x:c r="G29" s="60" t="n">
        <x:v>7.839771</x:v>
      </x:c>
      <x:c r="H29" s="60" t="n">
        <x:v>-0.07892301704151533</x:v>
      </x:c>
      <x:c r="I29" s="60" t="n">
        <x:v>2.5491069052675708</x:v>
      </x:c>
    </x:row>
    <x:row r="30">
      <x:c r="A30" s="48" t="n">
        <x:v>201703</x:v>
      </x:c>
      <x:c r="B30" s="60" t="n">
        <x:v>0.17</x:v>
      </x:c>
      <x:c r="C30" s="60" t="n">
        <x:v>1.14</x:v>
      </x:c>
      <x:c r="D30" s="60" t="n">
        <x:v>-3.35</x:v>
      </x:c>
      <x:c r="E30" s="60" t="n">
        <x:v>0.03</x:v>
      </x:c>
      <x:c r="F30" s="60" t="n">
        <x:v>-1.02</x:v>
      </x:c>
      <x:c r="G30" s="60" t="n">
        <x:v>5.709551</x:v>
      </x:c>
      <x:c r="H30" s="60" t="n">
        <x:v>0.8791216902552998</x:v>
      </x:c>
      <x:c r="I30" s="60" t="n">
        <x:v>-0.8970836686156848</x:v>
      </x:c>
    </x:row>
    <x:row r="31">
      <x:c r="A31" s="48" t="n">
        <x:v>201704</x:v>
      </x:c>
      <x:c r="B31" s="60" t="n">
        <x:v>1.09</x:v>
      </x:c>
      <x:c r="C31" s="60" t="n">
        <x:v>0.73</x:v>
      </x:c>
      <x:c r="D31" s="60" t="n">
        <x:v>-2.13</x:v>
      </x:c>
      <x:c r="E31" s="60" t="n">
        <x:v>0.05</x:v>
      </x:c>
      <x:c r="F31" s="60" t="n">
        <x:v>0.48</x:v>
      </x:c>
      <x:c r="G31" s="60" t="n">
        <x:v>7.646276</x:v>
      </x:c>
      <x:c r="H31" s="60" t="n">
        <x:v>1.1076210049492645</x:v>
      </x:c>
      <x:c r="I31" s="60" t="n">
        <x:v>3.821350666391812</x:v>
      </x:c>
    </x:row>
    <x:row r="32">
      <x:c r="A32" s="48" t="n">
        <x:v>201705</x:v>
      </x:c>
      <x:c r="B32" s="60" t="n">
        <x:v>1.06</x:v>
      </x:c>
      <x:c r="C32" s="60" t="n">
        <x:v>-2.57</x:v>
      </x:c>
      <x:c r="D32" s="60" t="n">
        <x:v>-3.78</x:v>
      </x:c>
      <x:c r="E32" s="60" t="n">
        <x:v>0.06</x:v>
      </x:c>
      <x:c r="F32" s="60" t="n">
        <x:v>1.48</x:v>
      </x:c>
      <x:c r="G32" s="60" t="n">
        <x:v>4.61996</x:v>
      </x:c>
      <x:c r="H32" s="60" t="n">
        <x:v>0.42138319927024104</x:v>
      </x:c>
      <x:c r="I32" s="60" t="n">
        <x:v>3.7741179052010616</x:v>
      </x:c>
    </x:row>
    <x:row r="33">
      <x:c r="A33" s="48" t="n">
        <x:v>201706</x:v>
      </x:c>
      <x:c r="B33" s="60" t="n">
        <x:v>0.78</x:v>
      </x:c>
      <x:c r="C33" s="60" t="n">
        <x:v>2.25</x:v>
      </x:c>
      <x:c r="D33" s="60" t="n">
        <x:v>1.48</x:v>
      </x:c>
      <x:c r="E33" s="60" t="n">
        <x:v>0.06</x:v>
      </x:c>
      <x:c r="F33" s="60" t="n">
        <x:v>-0.09</x:v>
      </x:c>
      <x:c r="G33" s="60" t="n">
        <x:v>0.291599</x:v>
      </x:c>
      <x:c r="H33" s="60" t="n">
        <x:v>1.8748768883515514</x:v>
      </x:c>
      <x:c r="I33" s="60" t="n">
        <x:v>0.2650558845959962</x:v>
      </x:c>
    </x:row>
    <x:row r="34">
      <x:c r="A34" s="48" t="n">
        <x:v>201707</x:v>
      </x:c>
      <x:c r="B34" s="60" t="n">
        <x:v>1.87</x:v>
      </x:c>
      <x:c r="C34" s="60" t="n">
        <x:v>-1.51</x:v>
      </x:c>
      <x:c r="D34" s="60" t="n">
        <x:v>-0.31</x:v>
      </x:c>
      <x:c r="E34" s="60" t="n">
        <x:v>0.07</x:v>
      </x:c>
      <x:c r="F34" s="60" t="n">
        <x:v>1.68</x:v>
      </x:c>
      <x:c r="G34" s="60" t="n">
        <x:v>7.15509</x:v>
      </x:c>
      <x:c r="H34" s="60" t="n">
        <x:v>-0.015350767113309776</x:v>
      </x:c>
      <x:c r="I34" s="60" t="n">
        <x:v>-0.3337250787479824</x:v>
      </x:c>
    </x:row>
    <x:row r="35">
      <x:c r="A35" s="48" t="n">
        <x:v>201708</x:v>
      </x:c>
      <x:c r="B35" s="60" t="n">
        <x:v>0.16</x:v>
      </x:c>
      <x:c r="C35" s="60" t="n">
        <x:v>-1.67</x:v>
      </x:c>
      <x:c r="D35" s="60" t="n">
        <x:v>-2.09</x:v>
      </x:c>
      <x:c r="E35" s="60" t="n">
        <x:v>0.09</x:v>
      </x:c>
      <x:c r="F35" s="60" t="n">
        <x:v>3.26</x:v>
      </x:c>
      <x:c r="G35" s="60" t="n">
        <x:v>9.703392</x:v>
      </x:c>
      <x:c r="H35" s="60" t="n">
        <x:v>1.8402894827342073</x:v>
      </x:c>
      <x:c r="I35" s="60" t="n">
        <x:v>-1.2480790685604686</x:v>
      </x:c>
    </x:row>
    <x:row r="36">
      <x:c r="A36" s="48" t="n">
        <x:v>201709</x:v>
      </x:c>
      <x:c r="B36" s="60" t="n">
        <x:v>2.51</x:v>
      </x:c>
      <x:c r="C36" s="60" t="n">
        <x:v>4.47</x:v>
      </x:c>
      <x:c r="D36" s="60" t="n">
        <x:v>3.14</x:v>
      </x:c>
      <x:c r="E36" s="60" t="n">
        <x:v>0.09</x:v>
      </x:c>
      <x:c r="F36" s="60" t="n">
        <x:v>-1.32</x:v>
      </x:c>
      <x:c r="G36" s="60" t="n">
        <x:v>13.30845</x:v>
      </x:c>
      <x:c r="H36" s="60" t="n">
        <x:v>2.1288174774545947</x:v>
      </x:c>
      <x:c r="I36" s="60" t="n">
        <x:v>7.140210316225161</x:v>
      </x:c>
    </x:row>
    <x:row r="37">
      <x:c r="A37" s="48" t="n">
        <x:v>201710</x:v>
      </x:c>
      <x:c r="B37" s="60" t="n">
        <x:v>2.25</x:v>
      </x:c>
      <x:c r="C37" s="60" t="n">
        <x:v>-1.94</x:v>
      </x:c>
      <x:c r="D37" s="60" t="n">
        <x:v>0.2</x:v>
      </x:c>
      <x:c r="E37" s="60" t="n">
        <x:v>0.09</x:v>
      </x:c>
      <x:c r="F37" s="60" t="n">
        <x:v>4.27</x:v>
      </x:c>
      <x:c r="G37" s="60" t="n">
        <x:v>1.235072</x:v>
      </x:c>
      <x:c r="H37" s="60" t="n">
        <x:v>2.7182601368405406</x:v>
      </x:c>
      <x:c r="I37" s="60" t="n">
        <x:v>-0.14740025789111177</x:v>
      </x:c>
    </x:row>
    <x:row r="38">
      <x:c r="A38" s="48" t="n">
        <x:v>201711</x:v>
      </x:c>
      <x:c r="B38" s="60" t="n">
        <x:v>3.12</x:v>
      </x:c>
      <x:c r="C38" s="60" t="n">
        <x:v>-0.55</x:v>
      </x:c>
      <x:c r="D38" s="60" t="n">
        <x:v>-0.03</x:v>
      </x:c>
      <x:c r="E38" s="60" t="n">
        <x:v>0.08</x:v>
      </x:c>
      <x:c r="F38" s="60" t="n">
        <x:v>-0.87</x:v>
      </x:c>
      <x:c r="G38" s="60" t="n">
        <x:v>-4.83144</x:v>
      </x:c>
      <x:c r="H38" s="60" t="n">
        <x:v>0.9031619818853519</x:v>
      </x:c>
      <x:c r="I38" s="60" t="n">
        <x:v>0.8140264380903647</x:v>
      </x:c>
    </x:row>
    <x:row r="39">
      <x:c r="A39" s="48" t="n">
        <x:v>201712</x:v>
      </x:c>
      <x:c r="B39" s="60" t="n">
        <x:v>1.06</x:v>
      </x:c>
      <x:c r="C39" s="60" t="n">
        <x:v>-1.32</x:v>
      </x:c>
      <x:c r="D39" s="60" t="n">
        <x:v>0.06</x:v>
      </x:c>
      <x:c r="E39" s="60" t="n">
        <x:v>0.09</x:v>
      </x:c>
      <x:c r="F39" s="60" t="n">
        <x:v>-1.54</x:v>
      </x:c>
      <x:c r="G39" s="60" t="n">
        <x:v>0.574961</x:v>
      </x:c>
      <x:c r="H39" s="60" t="n">
        <x:v>5.527872464570368</x:v>
      </x:c>
      <x:c r="I39" s="60" t="n">
        <x:v>-1.1850527534218966</x:v>
      </x:c>
    </x:row>
    <x:row r="40">
      <x:c r="A40" s="48" t="n">
        <x:v>201801</x:v>
      </x:c>
      <x:c r="B40" s="60" t="n">
        <x:v>5.57</x:v>
      </x:c>
      <x:c r="C40" s="60" t="n">
        <x:v>-3.13</x:v>
      </x:c>
      <x:c r="D40" s="60" t="n">
        <x:v>-1.29</x:v>
      </x:c>
      <x:c r="E40" s="60" t="n">
        <x:v>0.12</x:v>
      </x:c>
      <x:c r="F40" s="60" t="n">
        <x:v>4.05</x:v>
      </x:c>
      <x:c r="G40" s="60" t="n">
        <x:v>-3.0969</x:v>
      </x:c>
      <x:c r="H40" s="60" t="n">
        <x:v>-4.014737960415184</x:v>
      </x:c>
      <x:c r="I40" s="60" t="n">
        <x:v>-6.13346064829741</x:v>
      </x:c>
    </x:row>
    <x:row r="41">
      <x:c r="A41" s="48" t="n">
        <x:v>201802</x:v>
      </x:c>
      <x:c r="B41" s="60" t="n">
        <x:v>-3.65</x:v>
      </x:c>
      <x:c r="C41" s="60" t="n">
        <x:v>0.25</x:v>
      </x:c>
      <x:c r="D41" s="60" t="n">
        <x:v>-1.04</x:v>
      </x:c>
      <x:c r="E41" s="60" t="n">
        <x:v>0.11</x:v>
      </x:c>
      <x:c r="F41" s="60" t="n">
        <x:v>3.58</x:v>
      </x:c>
      <x:c r="G41" s="60" t="n">
        <x:v>-2.0092</x:v>
      </x:c>
      <x:c r="H41" s="60" t="n">
        <x:v>-2.7984513768364283</x:v>
      </x:c>
      <x:c r="I41" s="60" t="n">
        <x:v>-0.8101865146007944</x:v>
      </x:c>
    </x:row>
    <x:row r="42">
      <x:c r="A42" s="48" t="n">
        <x:v>201803</x:v>
      </x:c>
      <x:c r="B42" s="60" t="n">
        <x:v>-2.35</x:v>
      </x:c>
      <x:c r="C42" s="60" t="n">
        <x:v>4.06</x:v>
      </x:c>
      <x:c r="D42" s="60" t="n">
        <x:v>-0.21</x:v>
      </x:c>
      <x:c r="E42" s="60" t="n">
        <x:v>0.11</x:v>
      </x:c>
      <x:c r="F42" s="60" t="n">
        <x:v>-1.13</x:v>
      </x:c>
      <x:c r="G42" s="60" t="n">
        <x:v>-6.19138</x:v>
      </x:c>
      <x:c r="H42" s="60" t="n">
        <x:v>0.1618801001185326</x:v>
      </x:c>
      <x:c r="I42" s="60" t="n">
        <x:v>-1.4053612723171605</x:v>
      </x:c>
    </x:row>
    <x:row r="43">
      <x:c r="A43" s="48" t="n">
        <x:v>201804</x:v>
      </x:c>
      <x:c r="B43" s="60" t="n">
        <x:v>0.28</x:v>
      </x:c>
      <x:c r="C43" s="60" t="n">
        <x:v>1.13</x:v>
      </x:c>
      <x:c r="D43" s="60" t="n">
        <x:v>0.54</x:v>
      </x:c>
      <x:c r="E43" s="60" t="n">
        <x:v>0.14</x:v>
      </x:c>
      <x:c r="F43" s="60" t="n">
        <x:v>0.36</x:v>
      </x:c>
      <x:c r="G43" s="60" t="n">
        <x:v>8.52723</x:v>
      </x:c>
      <x:c r="H43" s="60" t="n">
        <x:v>2.0208353316591374</x:v>
      </x:c>
      <x:c r="I43" s="60" t="n">
        <x:v>-5.571264181912724</x:v>
      </x:c>
    </x:row>
    <x:row r="44">
      <x:c r="A44" s="48" t="n">
        <x:v>201805</x:v>
      </x:c>
      <x:c r="B44" s="60" t="n">
        <x:v>2.65</x:v>
      </x:c>
      <x:c r="C44" s="60" t="n">
        <x:v>5.25</x:v>
      </x:c>
      <x:c r="D44" s="60" t="n">
        <x:v>-3.2</x:v>
      </x:c>
      <x:c r="E44" s="60" t="n">
        <x:v>0.14</x:v>
      </x:c>
      <x:c r="F44" s="60" t="n">
        <x:v>3.89</x:v>
      </x:c>
      <x:c r="G44" s="60" t="n">
        <x:v>-4.81235</x:v>
      </x:c>
      <x:c r="H44" s="60" t="n">
        <x:v>0.34424002040461427</x:v>
      </x:c>
      <x:c r="I44" s="60" t="n">
        <x:v>2.050213154446344</x:v>
      </x:c>
    </x:row>
    <x:row r="45">
      <x:c r="A45" s="48" t="n">
        <x:v>201806</x:v>
      </x:c>
      <x:c r="B45" s="60" t="n">
        <x:v>0.48</x:v>
      </x:c>
      <x:c r="C45" s="60" t="n">
        <x:v>1.14</x:v>
      </x:c>
      <x:c r="D45" s="60" t="n">
        <x:v>-2.34</x:v>
      </x:c>
      <x:c r="E45" s="60" t="n">
        <x:v>0.14</x:v>
      </x:c>
      <x:c r="F45" s="60" t="n">
        <x:v>-2.35</x:v>
      </x:c>
      <x:c r="G45" s="60" t="n">
        <x:v>9.205191</x:v>
      </x:c>
      <x:c r="H45" s="60" t="n">
        <x:v>3.4621586465418646</x:v>
      </x:c>
      <x:c r="I45" s="60" t="n">
        <x:v>9.073796267140091</x:v>
      </x:c>
    </x:row>
    <x:row r="46">
      <x:c r="A46" s="48" t="n">
        <x:v>201807</x:v>
      </x:c>
      <x:c r="B46" s="60" t="n">
        <x:v>3.19</x:v>
      </x:c>
      <x:c r="C46" s="60" t="n">
        <x:v>-2.22</x:v>
      </x:c>
      <x:c r="D46" s="60" t="n">
        <x:v>0.47</x:v>
      </x:c>
      <x:c r="E46" s="60" t="n">
        <x:v>0.16</x:v>
      </x:c>
      <x:c r="F46" s="60" t="n">
        <x:v>-1.41</x:v>
      </x:c>
      <x:c r="G46" s="60" t="n">
        <x:v>2.19901</x:v>
      </x:c>
      <x:c r="H46" s="60" t="n">
        <x:v>2.8663218631603997</x:v>
      </x:c>
      <x:c r="I46" s="60" t="n">
        <x:v>1.4774729010111147</x:v>
      </x:c>
    </x:row>
    <x:row r="47">
      <x:c r="A47" s="48" t="n">
        <x:v>201808</x:v>
      </x:c>
      <x:c r="B47" s="60" t="n">
        <x:v>3.44</x:v>
      </x:c>
      <x:c r="C47" s="60" t="n">
        <x:v>1.14</x:v>
      </x:c>
      <x:c r="D47" s="60" t="n">
        <x:v>-3.94</x:v>
      </x:c>
      <x:c r="E47" s="60" t="n">
        <x:v>0.16</x:v>
      </x:c>
      <x:c r="F47" s="60" t="n">
        <x:v>5.29</x:v>
      </x:c>
      <x:c r="G47" s="60" t="n">
        <x:v>-1.88252</x:v>
      </x:c>
      <x:c r="H47" s="60" t="n">
        <x:v>0.26943009181394706</x:v>
      </x:c>
      <x:c r="I47" s="60" t="n">
        <x:v>3.107358369276621</x:v>
      </x:c>
    </x:row>
    <x:row r="48">
      <x:c r="A48" s="48" t="n">
        <x:v>201809</x:v>
      </x:c>
      <x:c r="B48" s="60" t="n">
        <x:v>0.06</x:v>
      </x:c>
      <x:c r="C48" s="60" t="n">
        <x:v>-2.27</x:v>
      </x:c>
      <x:c r="D48" s="60" t="n">
        <x:v>-1.7</x:v>
      </x:c>
      <x:c r="E48" s="60" t="n">
        <x:v>0.15</x:v>
      </x:c>
      <x:c r="F48" s="60" t="n">
        <x:v>0.04</x:v>
      </x:c>
      <x:c r="G48" s="60" t="n">
        <x:v>-5.74703</x:v>
      </x:c>
      <x:c r="H48" s="60" t="n">
        <x:v>-7.090335897981463</x:v>
      </x:c>
      <x:c r="I48" s="60" t="n">
        <x:v>1.1672210503899894</x:v>
      </x:c>
    </x:row>
    <x:row r="49">
      <x:c r="A49" s="48" t="n">
        <x:v>201810</x:v>
      </x:c>
      <x:c r="B49" s="60" t="n">
        <x:v>-7.68</x:v>
      </x:c>
      <x:c r="C49" s="60" t="n">
        <x:v>-4.78</x:v>
      </x:c>
      <x:c r="D49" s="60" t="n">
        <x:v>3.4</x:v>
      </x:c>
      <x:c r="E49" s="60" t="n">
        <x:v>0.19</x:v>
      </x:c>
      <x:c r="F49" s="60" t="n">
        <x:v>-1.99</x:v>
      </x:c>
      <x:c r="G49" s="60" t="n">
        <x:v>6.519911</x:v>
      </x:c>
      <x:c r="H49" s="60" t="n">
        <x:v>1.5959381799140144</x:v>
      </x:c>
      <x:c r="I49" s="60" t="n">
        <x:v>4.746064446588681</x:v>
      </x:c>
    </x:row>
    <x:row r="50">
      <x:c r="A50" s="48" t="n">
        <x:v>201811</x:v>
      </x:c>
      <x:c r="B50" s="60" t="n">
        <x:v>1.69</x:v>
      </x:c>
      <x:c r="C50" s="60" t="n">
        <x:v>-0.68</x:v>
      </x:c>
      <x:c r="D50" s="60" t="n">
        <x:v>0.3</x:v>
      </x:c>
      <x:c r="E50" s="60" t="n">
        <x:v>0.18</x:v>
      </x:c>
      <x:c r="F50" s="60" t="n">
        <x:v>-1.37</x:v>
      </x:c>
      <x:c r="G50" s="60" t="n">
        <x:v>-11.2688</x:v>
      </x:c>
      <x:c r="H50" s="60" t="n">
        <x:v>-9.35769557672173</x:v>
      </x:c>
      <x:c r="I50" s="60" t="n">
        <x:v>-11.771690148680273</x:v>
      </x:c>
    </x:row>
    <x:row r="51">
      <x:c r="A51" s="48" t="n">
        <x:v>201812</x:v>
      </x:c>
      <x:c r="B51" s="60" t="n">
        <x:v>-9.57</x:v>
      </x:c>
      <x:c r="C51" s="60" t="n">
        <x:v>-2.38</x:v>
      </x:c>
      <x:c r="D51" s="60" t="n">
        <x:v>-1.84</x:v>
      </x:c>
      <x:c r="E51" s="60" t="n">
        <x:v>0.2</x:v>
      </x:c>
      <x:c r="F51" s="60" t="n">
        <x:v>2.11</x:v>
      </x:c>
      <x:c r="G51" s="60" t="n">
        <x:v>3.885932</x:v>
      </x:c>
      <x:c r="H51" s="60" t="n">
        <x:v>7.668440473103696</x:v>
      </x:c>
      <x:c r="I51" s="60" t="n">
        <x:v>2.922799727139902</x:v>
      </x:c>
    </x:row>
    <x:row r="52">
      <x:c r="A52" s="48" t="n">
        <x:v>201901</x:v>
      </x:c>
      <x:c r="B52" s="60" t="n">
        <x:v>8.4</x:v>
      </x:c>
      <x:c r="C52" s="60" t="n">
        <x:v>2.9</x:v>
      </x:c>
      <x:c r="D52" s="60" t="n">
        <x:v>-0.46</x:v>
      </x:c>
      <x:c r="E52" s="60" t="n">
        <x:v>0.21</x:v>
      </x:c>
      <x:c r="F52" s="60" t="n">
        <x:v>-8.68</x:v>
      </x:c>
      <x:c r="G52" s="60" t="n">
        <x:v>-0.61164</x:v>
      </x:c>
      <x:c r="H52" s="60" t="n">
        <x:v>2.7628930143115964</x:v>
      </x:c>
      <x:c r="I52" s="60" t="n">
        <x:v>2.4650860504961134</x:v>
      </x:c>
    </x:row>
    <x:row r="53">
      <x:c r="A53" s="48" t="n">
        <x:v>201902</x:v>
      </x:c>
      <x:c r="B53" s="60" t="n">
        <x:v>3.4</x:v>
      </x:c>
      <x:c r="C53" s="60" t="n">
        <x:v>2.05</x:v>
      </x:c>
      <x:c r="D53" s="60" t="n">
        <x:v>-2.67</x:v>
      </x:c>
      <x:c r="E53" s="60" t="n">
        <x:v>0.18</x:v>
      </x:c>
      <x:c r="F53" s="60" t="n">
        <x:v>0.86</x:v>
      </x:c>
      <x:c r="G53" s="60" t="n">
        <x:v>-0.23512</x:v>
      </x:c>
      <x:c r="H53" s="60" t="n">
        <x:v>1.612428775107841</x:v>
      </x:c>
      <x:c r="I53" s="60" t="n">
        <x:v>2.8038617297272186</x:v>
      </x:c>
    </x:row>
    <x:row r="54">
      <x:c r="A54" s="48" t="n">
        <x:v>201903</x:v>
      </x:c>
      <x:c r="B54" s="60" t="n">
        <x:v>1.1</x:v>
      </x:c>
      <x:c r="C54" s="60" t="n">
        <x:v>-3.05</x:v>
      </x:c>
      <x:c r="D54" s="60" t="n">
        <x:v>-4.17</x:v>
      </x:c>
      <x:c r="E54" s="60" t="n">
        <x:v>0.19</x:v>
      </x:c>
      <x:c r="F54" s="60" t="n">
        <x:v>2.21</x:v>
      </x:c>
      <x:c r="G54" s="60" t="n">
        <x:v>-2.74369</x:v>
      </x:c>
      <x:c r="H54" s="60" t="n">
        <x:v>3.741343494213937</x:v>
      </x:c>
      <x:c r="I54" s="60" t="n">
        <x:v>0.8186433891031785</x:v>
      </x:c>
    </x:row>
    <x:row r="55">
      <x:c r="A55" s="48" t="n">
        <x:v>201904</x:v>
      </x:c>
      <x:c r="B55" s="60" t="n">
        <x:v>3.97</x:v>
      </x:c>
      <x:c r="C55" s="60" t="n">
        <x:v>-1.74</x:v>
      </x:c>
      <x:c r="D55" s="60" t="n">
        <x:v>2.15</x:v>
      </x:c>
      <x:c r="E55" s="60" t="n">
        <x:v>0.21</x:v>
      </x:c>
      <x:c r="F55" s="60" t="n">
        <x:v>-2.97</x:v>
      </x:c>
      <x:c r="G55" s="60" t="n">
        <x:v>-10.6806</x:v>
      </x:c>
      <x:c r="H55" s="60" t="n">
        <x:v>-6.787772648116151</x:v>
      </x:c>
      <x:c r="I55" s="60" t="n">
        <x:v>-7.327556566646908</x:v>
      </x:c>
    </x:row>
    <x:row r="56">
      <x:c r="A56" s="48" t="n">
        <x:v>201905</x:v>
      </x:c>
      <x:c r="B56" s="60" t="n">
        <x:v>-6.94</x:v>
      </x:c>
      <x:c r="C56" s="60" t="n">
        <x:v>-1.32</x:v>
      </x:c>
      <x:c r="D56" s="60" t="n">
        <x:v>-2.37</x:v>
      </x:c>
      <x:c r="E56" s="60" t="n">
        <x:v>0.21</x:v>
      </x:c>
      <x:c r="F56" s="60" t="n">
        <x:v>7.56</x:v>
      </x:c>
      <x:c r="G56" s="60" t="n">
        <x:v>9.051885</x:v>
      </x:c>
      <x:c r="H56" s="60" t="n">
        <x:v>6.683018320821503</x:v>
      </x:c>
      <x:c r="I56" s="60" t="n">
        <x:v>6.715658295171696</x:v>
      </x:c>
    </x:row>
    <x:row r="57">
      <x:c r="A57" s="48" t="n">
        <x:v>201906</x:v>
      </x:c>
      <x:c r="B57" s="60" t="n">
        <x:v>6.93</x:v>
      </x:c>
      <x:c r="C57" s="60" t="n">
        <x:v>0.29</x:v>
      </x:c>
      <x:c r="D57" s="60" t="n">
        <x:v>-0.71</x:v>
      </x:c>
      <x:c r="E57" s="60" t="n">
        <x:v>0.18</x:v>
      </x:c>
      <x:c r="F57" s="60" t="n">
        <x:v>-2.3</x:v>
      </x:c>
      <x:c r="G57" s="60" t="n">
        <x:v>8.335899</x:v>
      </x:c>
      <x:c r="H57" s="60" t="n">
        <x:v>1.132819536603934</x:v>
      </x:c>
      <x:c r="I57" s="60" t="n">
        <x:v>-6.684879155421668</x:v>
      </x:c>
    </x:row>
    <x:row r="58">
      <x:c r="A58" s="48" t="n">
        <x:v>201907</x:v>
      </x:c>
      <x:c r="B58" s="60" t="n">
        <x:v>1.19</x:v>
      </x:c>
      <x:c r="C58" s="60" t="n">
        <x:v>-1.93</x:v>
      </x:c>
      <x:c r="D58" s="60" t="n">
        <x:v>0.48</x:v>
      </x:c>
      <x:c r="E58" s="60" t="n">
        <x:v>0.19</x:v>
      </x:c>
      <x:c r="F58" s="60" t="n">
        <x:v>2.89</x:v>
      </x:c>
      <x:c r="G58" s="60" t="n">
        <x:v>-0.04391</x:v>
      </x:c>
      <x:c r="H58" s="60" t="n">
        <x:v>-1.9991652742267787</x:v>
      </x:c>
      <x:c r="I58" s="60" t="n">
        <x:v>-1.6183464647867705</x:v>
      </x:c>
    </x:row>
    <x:row r="59">
      <x:c r="A59" s="48" t="n">
        <x:v>201908</x:v>
      </x:c>
      <x:c r="B59" s="60" t="n">
        <x:v>-2.58</x:v>
      </x:c>
      <x:c r="C59" s="60" t="n">
        <x:v>-2.38</x:v>
      </x:c>
      <x:c r="D59" s="60" t="n">
        <x:v>-4.78</x:v>
      </x:c>
      <x:c r="E59" s="60" t="n">
        <x:v>0.16</x:v>
      </x:c>
      <x:c r="F59" s="60" t="n">
        <x:v>6.92</x:v>
      </x:c>
      <x:c r="G59" s="60" t="n">
        <x:v>0.278927</x:v>
      </x:c>
      <x:c r="H59" s="60" t="n">
        <x:v>1.5581167690656883</x:v>
      </x:c>
      <x:c r="I59" s="60" t="n">
        <x:v>1.3899220610549794</x:v>
      </x:c>
    </x:row>
    <x:row r="60">
      <x:c r="A60" s="48" t="n">
        <x:v>201909</x:v>
      </x:c>
      <x:c r="B60" s="60" t="n">
        <x:v>1.43</x:v>
      </x:c>
      <x:c r="C60" s="60" t="n">
        <x:v>-0.96</x:v>
      </x:c>
      <x:c r="D60" s="60" t="n">
        <x:v>6.75</x:v>
      </x:c>
      <x:c r="E60" s="60" t="n">
        <x:v>0.18</x:v>
      </x:c>
      <x:c r="F60" s="60" t="n">
        <x:v>-6.81</x:v>
      </x:c>
      <x:c r="G60" s="60" t="n">
        <x:v>12.18318</x:v>
      </x:c>
      <x:c r="H60" s="60" t="n">
        <x:v>1.8631747482144954</x:v>
      </x:c>
      <x:c r="I60" s="60" t="n">
        <x:v>1.8759620434176172</x:v>
      </x:c>
    </x:row>
    <x:row r="61">
      <x:c r="A61" s="48" t="n">
        <x:v>201910</x:v>
      </x:c>
      <x:c r="B61" s="60" t="n">
        <x:v>2.06</x:v>
      </x:c>
      <x:c r="C61" s="60" t="n">
        <x:v>0.29</x:v>
      </x:c>
      <x:c r="D61" s="60" t="n">
        <x:v>-1.91</x:v>
      </x:c>
      <x:c r="E61" s="60" t="n">
        <x:v>0.16</x:v>
      </x:c>
      <x:c r="F61" s="60" t="n">
        <x:v>0.15</x:v>
      </x:c>
      <x:c r="G61" s="60" t="n">
        <x:v>0.365446</x:v>
      </x:c>
      <x:c r="H61" s="60" t="n">
        <x:v>3.2447064090915108</x:v>
      </x:c>
      <x:c r="I61" s="60" t="n">
        <x:v>3.967547493365822</x:v>
      </x:c>
    </x:row>
    <x:row r="62">
      <x:c r="A62" s="48" t="n">
        <x:v>201911</x:v>
      </x:c>
      <x:c r="B62" s="60" t="n">
        <x:v>3.87</x:v>
      </x:c>
      <x:c r="C62" s="60" t="n">
        <x:v>0.77</x:v>
      </x:c>
      <x:c r="D62" s="60" t="n">
        <x:v>-2.02</x:v>
      </x:c>
      <x:c r="E62" s="60" t="n">
        <x:v>0.12</x:v>
      </x:c>
      <x:c r="F62" s="60" t="n">
        <x:v>-2.66</x:v>
      </x:c>
      <x:c r="G62" s="60" t="n">
        <x:v>6.948512</x:v>
      </x:c>
      <x:c r="H62" s="60" t="n">
        <x:v>2.7389803182446304</x:v>
      </x:c>
      <x:c r="I62" s="60" t="n">
        <x:v>6.710032671946592</x:v>
      </x:c>
    </x:row>
    <x:row r="63">
      <x:c r="A63" s="48" t="n">
        <x:v>201912</x:v>
      </x:c>
      <x:c r="B63" s="60" t="n">
        <x:v>2.77</x:v>
      </x:c>
      <x:c r="C63" s="60" t="n">
        <x:v>0.73</x:v>
      </x:c>
      <x:c r="D63" s="60" t="n">
        <x:v>1.75</x:v>
      </x:c>
      <x:c r="E63" s="60" t="n">
        <x:v>0.14</x:v>
      </x:c>
      <x:c r="F63" s="60" t="n">
        <x:v>-1.77</x:v>
      </x:c>
      <x:c r="G63" s="60" t="n">
        <x:v>-3.54072</x:v>
      </x:c>
      <x:c r="H63" s="60" t="n">
        <x:v>-0.30280898111292687</x:v>
      </x:c>
      <x:c r="I63" s="60" t="n">
        <x:v>1.9166441833952879</x:v>
      </x:c>
    </x:row>
    <x:row r="64">
      <x:c r="A64" s="48" t="n">
        <x:v>202001</x:v>
      </x:c>
      <x:c r="B64" s="60" t="n">
        <x:v>-0.11</x:v>
      </x:c>
      <x:c r="C64" s="60" t="n">
        <x:v>-3.11</x:v>
      </x:c>
      <x:c r="D64" s="60" t="n">
        <x:v>-6.25</x:v>
      </x:c>
      <x:c r="E64" s="60" t="n">
        <x:v>0.13</x:v>
      </x:c>
      <x:c r="F64" s="60" t="n">
        <x:v>5.98</x:v>
      </x:c>
      <x:c r="G64" s="60" t="n">
        <x:v>-4.55674</x:v>
      </x:c>
      <x:c r="H64" s="60" t="n">
        <x:v>-8.54104690096481</x:v>
      </x:c>
      <x:c r="I64" s="60" t="n">
        <x:v>-9.79619461218781</x:v>
      </x:c>
    </x:row>
    <x:row r="65">
      <x:c r="A65" s="48" t="n">
        <x:v>202002</x:v>
      </x:c>
      <x:c r="B65" s="60" t="n">
        <x:v>-8.13</x:v>
      </x:c>
      <x:c r="C65" s="60" t="n">
        <x:v>1.07</x:v>
      </x:c>
      <x:c r="D65" s="60" t="n">
        <x:v>-3.81</x:v>
      </x:c>
      <x:c r="E65" s="60" t="n">
        <x:v>0.12</x:v>
      </x:c>
      <x:c r="F65" s="60" t="n">
        <x:v>-0.4</x:v>
      </x:c>
      <x:c r="G65" s="60" t="n">
        <x:v>-4.08318</x:v>
      </x:c>
      <x:c r="H65" s="60" t="n">
        <x:v>-12.63193208359566</x:v>
      </x:c>
      <x:c r="I65" s="60" t="n">
        <x:v>-1.9892780378440051</x:v>
      </x:c>
    </x:row>
    <x:row r="66">
      <x:c r="A66" s="48" t="n">
        <x:v>202003</x:v>
      </x:c>
      <x:c r="B66" s="60" t="n">
        <x:v>-13.39</x:v>
      </x:c>
      <x:c r="C66" s="60" t="n">
        <x:v>-4.83</x:v>
      </x:c>
      <x:c r="D66" s="60" t="n">
        <x:v>-13.87</x:v>
      </x:c>
      <x:c r="E66" s="60" t="n">
        <x:v>0.13</x:v>
      </x:c>
      <x:c r="F66" s="60" t="n">
        <x:v>7.97</x:v>
      </x:c>
      <x:c r="G66" s="60" t="n">
        <x:v>15.76526</x:v>
      </x:c>
      <x:c r="H66" s="60" t="n">
        <x:v>12.55441029331537</x:v>
      </x:c>
      <x:c r="I66" s="60" t="n">
        <x:v>14.290802232830707</x:v>
      </x:c>
    </x:row>
    <x:row r="67">
      <x:c r="A67" s="48" t="n">
        <x:v>202004</x:v>
      </x:c>
      <x:c r="B67" s="60" t="n">
        <x:v>13.65</x:v>
      </x:c>
      <x:c r="C67" s="60" t="n">
        <x:v>2.45</x:v>
      </x:c>
      <x:c r="D67" s="60" t="n">
        <x:v>-1.33</x:v>
      </x:c>
      <x:c r="E67" s="60" t="n">
        <x:v>0</x:v>
      </x:c>
      <x:c r="F67" s="60" t="n">
        <x:v>-5.23</x:v>
      </x:c>
      <x:c r="G67" s="60" t="n">
        <x:v>3.472512</x:v>
      </x:c>
      <x:c r="H67" s="60" t="n">
        <x:v>4.528177501261837</x:v>
      </x:c>
      <x:c r="I67" s="60" t="n">
        <x:v>-0.8597710576844549</x:v>
      </x:c>
    </x:row>
    <x:row r="68">
      <x:c r="A68" s="48" t="n">
        <x:v>202005</x:v>
      </x:c>
      <x:c r="B68" s="60" t="n">
        <x:v>5.58</x:v>
      </x:c>
      <x:c r="C68" s="60" t="n">
        <x:v>2.47</x:v>
      </x:c>
      <x:c r="D68" s="60" t="n">
        <x:v>-4.88</x:v>
      </x:c>
      <x:c r="E68" s="60" t="n">
        <x:v>0.01</x:v>
      </x:c>
      <x:c r="F68" s="60" t="n">
        <x:v>0.43</x:v>
      </x:c>
      <x:c r="G68" s="60" t="n">
        <x:v>-1.93197</x:v>
      </x:c>
      <x:c r="H68" s="60" t="n">
        <x:v>1.828840328350267</x:v>
      </x:c>
      <x:c r="I68" s="60" t="n">
        <x:v>-4.813447275330965</x:v>
      </x:c>
    </x:row>
    <x:row r="69">
      <x:c r="A69" s="48" t="n">
        <x:v>202006</x:v>
      </x:c>
      <x:c r="B69" s="60" t="n">
        <x:v>2.46</x:v>
      </x:c>
      <x:c r="C69" s="60" t="n">
        <x:v>2.69</x:v>
      </x:c>
      <x:c r="D69" s="60" t="n">
        <x:v>-2.2</x:v>
      </x:c>
      <x:c r="E69" s="60" t="n">
        <x:v>0.01</x:v>
      </x:c>
      <x:c r="F69" s="60" t="n">
        <x:v>-0.73</x:v>
      </x:c>
      <x:c r="G69" s="60" t="n">
        <x:v>0.492548</x:v>
      </x:c>
      <x:c r="H69" s="60" t="n">
        <x:v>5.500129697544421</x:v>
      </x:c>
      <x:c r="I69" s="60" t="n">
        <x:v>3.6378544377539326</x:v>
      </x:c>
    </x:row>
    <x:row r="70">
      <x:c r="A70" s="48" t="n">
        <x:v>202007</x:v>
      </x:c>
      <x:c r="B70" s="60" t="n">
        <x:v>5.77</x:v>
      </x:c>
      <x:c r="C70" s="60" t="n">
        <x:v>-2.33</x:v>
      </x:c>
      <x:c r="D70" s="60" t="n">
        <x:v>-1.41</x:v>
      </x:c>
      <x:c r="E70" s="60" t="n">
        <x:v>0.01</x:v>
      </x:c>
      <x:c r="F70" s="60" t="n">
        <x:v>7.61</x:v>
      </x:c>
      <x:c r="G70" s="60" t="n">
        <x:v>-0.37938</x:v>
      </x:c>
      <x:c r="H70" s="60" t="n">
        <x:v>6.996468732421925</x:v>
      </x:c>
      <x:c r="I70" s="60" t="n">
        <x:v>5.2383809366129235</x:v>
      </x:c>
    </x:row>
    <x:row r="71">
      <x:c r="A71" s="48" t="n">
        <x:v>202008</x:v>
      </x:c>
      <x:c r="B71" s="60" t="n">
        <x:v>7.63</x:v>
      </x:c>
      <x:c r="C71" s="60" t="n">
        <x:v>-0.22</x:v>
      </x:c>
      <x:c r="D71" s="60" t="n">
        <x:v>-2.97</x:v>
      </x:c>
      <x:c r="E71" s="60" t="n">
        <x:v>0.01</x:v>
      </x:c>
      <x:c r="F71" s="60" t="n">
        <x:v>0.55</x:v>
      </x:c>
      <x:c r="G71" s="60" t="n">
        <x:v>-1.28473</x:v>
      </x:c>
      <x:c r="H71" s="60" t="n">
        <x:v>-3.932795409549439</x:v>
      </x:c>
      <x:c r="I71" s="60" t="n">
        <x:v>-2.316968345799141</x:v>
      </x:c>
    </x:row>
    <x:row r="72">
      <x:c r="A72" s="48" t="n">
        <x:v>202009</x:v>
      </x:c>
      <x:c r="B72" s="60" t="n">
        <x:v>-3.63</x:v>
      </x:c>
      <x:c r="C72" s="60" t="n">
        <x:v>0.02</x:v>
      </x:c>
      <x:c r="D72" s="60" t="n">
        <x:v>-2.71</x:v>
      </x:c>
      <x:c r="E72" s="60" t="n">
        <x:v>0.01</x:v>
      </x:c>
      <x:c r="F72" s="60" t="n">
        <x:v>3.12</x:v>
      </x:c>
      <x:c r="G72" s="60" t="n">
        <x:v>-1.11417</x:v>
      </x:c>
      <x:c r="H72" s="60" t="n">
        <x:v>-2.776577460600653</x:v>
      </x:c>
      <x:c r="I72" s="60" t="n">
        <x:v>-7.915672709576548</x:v>
      </x:c>
    </x:row>
    <x:row r="73">
      <x:c r="A73" s="48" t="n">
        <x:v>202010</x:v>
      </x:c>
      <x:c r="B73" s="60" t="n">
        <x:v>-2.1</x:v>
      </x:c>
      <x:c r="C73" s="60" t="n">
        <x:v>4.38</x:v>
      </x:c>
      <x:c r="D73" s="60" t="n">
        <x:v>4.25</x:v>
      </x:c>
      <x:c r="E73" s="60" t="n">
        <x:v>0.01</x:v>
      </x:c>
      <x:c r="F73" s="60" t="n">
        <x:v>-3.05</x:v>
      </x:c>
      <x:c r="G73" s="60" t="n">
        <x:v>12.56026</x:v>
      </x:c>
      <x:c r="H73" s="60" t="n">
        <x:v>10.744565805086301</x:v>
      </x:c>
      <x:c r="I73" s="60" t="n">
        <x:v>5.51109222743954</x:v>
      </x:c>
    </x:row>
    <x:row r="74">
      <x:c r="A74" s="48" t="n">
        <x:v>202011</x:v>
      </x:c>
      <x:c r="B74" s="60" t="n">
        <x:v>12.47</x:v>
      </x:c>
      <x:c r="C74" s="60" t="n">
        <x:v>5.8</x:v>
      </x:c>
      <x:c r="D74" s="60" t="n">
        <x:v>2.09</x:v>
      </x:c>
      <x:c r="E74" s="60" t="n">
        <x:v>0.01</x:v>
      </x:c>
      <x:c r="F74" s="60" t="n">
        <x:v>-12.43</x:v>
      </x:c>
      <x:c r="G74" s="60" t="n">
        <x:v>5.729262</x:v>
      </x:c>
      <x:c r="H74" s="60" t="n">
        <x:v>3.702140665943237</x:v>
      </x:c>
      <x:c r="I74" s="60" t="n">
        <x:v>9.523856224030746</x:v>
      </x:c>
    </x:row>
    <x:row r="75">
      <x:c r="A75" s="48" t="n">
        <x:v>202012</x:v>
      </x:c>
      <x:c r="B75" s="60" t="n">
        <x:v>4.63</x:v>
      </x:c>
      <x:c r="C75" s="60" t="n">
        <x:v>4.89</x:v>
      </x:c>
      <x:c r="D75" s="60" t="n">
        <x:v>-1.51</x:v>
      </x:c>
      <x:c r="E75" s="60" t="n">
        <x:v>0.01</x:v>
      </x:c>
      <x:c r="F75" s="60" t="n">
        <x:v>-2.32</x:v>
      </x:c>
      <x:c r="G75" s="60" t="n">
        <x:v>-6.82802</x:v>
      </x:c>
      <x:c r="H75" s="60" t="n">
        <x:v>-1.12366401584636</x:v>
      </x:c>
      <x:c r="I75" s="60" t="n">
        <x:v>3.6435903203861275</x:v>
      </x:c>
    </x:row>
    <x:row r="76">
      <x:c r="A76" s="48" t="n">
        <x:v>202101</x:v>
      </x:c>
      <x:c r="B76" s="60" t="n">
        <x:v>-0.03</x:v>
      </x:c>
      <x:c r="C76" s="60" t="n">
        <x:v>7.36</x:v>
      </x:c>
      <x:c r="D76" s="60" t="n">
        <x:v>3.01</x:v>
      </x:c>
      <x:c r="E76" s="60" t="n">
        <x:v>0.01</x:v>
      </x:c>
      <x:c r="F76" s="60" t="n">
        <x:v>4.5</x:v>
      </x:c>
      <x:c r="G76" s="60" t="n">
        <x:v>-2.73892</x:v>
      </x:c>
      <x:c r="H76" s="60" t="n">
        <x:v>2.599147497199974</x:v>
      </x:c>
      <x:c r="I76" s="60" t="n">
        <x:v>-2.872731718924097</x:v>
      </x:c>
    </x:row>
    <x:row r="77">
      <x:c r="A77" s="48" t="n">
        <x:v>202102</x:v>
      </x:c>
      <x:c r="B77" s="60" t="n">
        <x:v>2.78</x:v>
      </x:c>
      <x:c r="C77" s="60" t="n">
        <x:v>2.05</x:v>
      </x:c>
      <x:c r="D77" s="60" t="n">
        <x:v>7.15</x:v>
      </x:c>
      <x:c r="E77" s="60" t="n">
        <x:v>0</x:v>
      </x:c>
      <x:c r="F77" s="60" t="n">
        <x:v>-7.89</x:v>
      </x:c>
      <x:c r="G77" s="60" t="n">
        <x:v>11.28996</x:v>
      </x:c>
      <x:c r="H77" s="60" t="n">
        <x:v>4.243863400810773</x:v>
      </x:c>
      <x:c r="I77" s="60" t="n">
        <x:v>4.3637504121440225</x:v>
      </x:c>
    </x:row>
    <x:row r="78">
      <x:c r="A78" s="48" t="n">
        <x:v>202103</x:v>
      </x:c>
      <x:c r="B78" s="60" t="n">
        <x:v>3.08</x:v>
      </x:c>
      <x:c r="C78" s="60" t="n">
        <x:v>-2.37</x:v>
      </x:c>
      <x:c r="D78" s="60" t="n">
        <x:v>7.39</x:v>
      </x:c>
      <x:c r="E78" s="60" t="n">
        <x:v>0</x:v>
      </x:c>
      <x:c r="F78" s="60" t="n">
        <x:v>-6.14</x:v>
      </x:c>
      <x:c r="G78" s="60" t="n">
        <x:v>7.527007</x:v>
      </x:c>
      <x:c r="H78" s="60" t="n">
        <x:v>5.242531255584731</x:v>
      </x:c>
      <x:c r="I78" s="60" t="n">
        <x:v>-0.9856964842854026</x:v>
      </x:c>
    </x:row>
    <x:row r="79">
      <x:c r="A79" s="48" t="n">
        <x:v>202104</x:v>
      </x:c>
      <x:c r="B79" s="60" t="n">
        <x:v>4.93</x:v>
      </x:c>
      <x:c r="C79" s="60" t="n">
        <x:v>-3.19</x:v>
      </x:c>
      <x:c r="D79" s="60" t="n">
        <x:v>-0.95</x:v>
      </x:c>
      <x:c r="E79" s="60" t="n">
        <x:v>0</x:v>
      </x:c>
      <x:c r="F79" s="60" t="n">
        <x:v>1.16</x:v>
      </x:c>
      <x:c r="G79" s="60" t="n">
        <x:v>4.616967</x:v>
      </x:c>
      <x:c r="H79" s="60" t="n">
        <x:v>0.5486502581813129</x:v>
      </x:c>
      <x:c r="I79" s="60" t="n">
        <x:v>4.006617009234804</x:v>
      </x:c>
    </x:row>
    <x:row r="80">
      <x:c r="A80" s="48" t="n">
        <x:v>202105</x:v>
      </x:c>
      <x:c r="B80" s="60" t="n">
        <x:v>0.29</x:v>
      </x:c>
      <x:c r="C80" s="60" t="n">
        <x:v>-0.25</x:v>
      </x:c>
      <x:c r="D80" s="60" t="n">
        <x:v>7.09</x:v>
      </x:c>
      <x:c r="E80" s="60" t="n">
        <x:v>0</x:v>
      </x:c>
      <x:c r="F80" s="60" t="n">
        <x:v>0.88</x:v>
      </x:c>
      <x:c r="G80" s="60" t="n">
        <x:v>-3.11813</x:v>
      </x:c>
      <x:c r="H80" s="60" t="n">
        <x:v>2.221397632316955</x:v>
      </x:c>
      <x:c r="I80" s="60" t="n">
        <x:v>-2.0574276055456755</x:v>
      </x:c>
    </x:row>
    <x:row r="81">
      <x:c r="A81" s="48" t="n">
        <x:v>202106</x:v>
      </x:c>
      <x:c r="B81" s="60" t="n">
        <x:v>2.75</x:v>
      </x:c>
      <x:c r="C81" s="60" t="n">
        <x:v>1.68</x:v>
      </x:c>
      <x:c r="D81" s="60" t="n">
        <x:v>-7.87</x:v>
      </x:c>
      <x:c r="E81" s="60" t="n">
        <x:v>0</x:v>
      </x:c>
      <x:c r="F81" s="60" t="n">
        <x:v>2.2</x:v>
      </x:c>
      <x:c r="G81" s="60" t="n">
        <x:v>2.24293</x:v>
      </x:c>
      <x:c r="H81" s="60" t="n">
        <x:v>2.2748109365910465</x:v>
      </x:c>
      <x:c r="I81" s="60" t="n">
        <x:v>4.528387634784455</x:v>
      </x:c>
    </x:row>
    <x:row r="82">
      <x:c r="A82" s="48" t="n">
        <x:v>202107</x:v>
      </x:c>
      <x:c r="B82" s="60" t="n">
        <x:v>1.27</x:v>
      </x:c>
      <x:c r="C82" s="60" t="n">
        <x:v>-3.97</x:v>
      </x:c>
      <x:c r="D82" s="60" t="n">
        <x:v>-1.78</x:v>
      </x:c>
      <x:c r="E82" s="60" t="n">
        <x:v>0</x:v>
      </x:c>
      <x:c r="F82" s="60" t="n">
        <x:v>-2.28</x:v>
      </x:c>
      <x:c r="G82" s="60" t="n">
        <x:v>-2.06442</x:v>
      </x:c>
      <x:c r="H82" s="60" t="n">
        <x:v>2.899032139168105</x:v>
      </x:c>
      <x:c r="I82" s="60" t="n">
        <x:v>0.5400431810265578</x:v>
      </x:c>
    </x:row>
    <x:row r="83">
      <x:c r="A83" s="48" t="n">
        <x:v>202108</x:v>
      </x:c>
      <x:c r="B83" s="60" t="n">
        <x:v>2.91</x:v>
      </x:c>
      <x:c r="C83" s="60" t="n">
        <x:v>-0.42</x:v>
      </x:c>
      <x:c r="D83" s="60" t="n">
        <x:v>-0.15</x:v>
      </x:c>
      <x:c r="E83" s="60" t="n">
        <x:v>0</x:v>
      </x:c>
      <x:c r="F83" s="60" t="n">
        <x:v>2.45</x:v>
      </x:c>
      <x:c r="G83" s="60" t="n">
        <x:v>-4.67914</x:v>
      </x:c>
      <x:c r="H83" s="60" t="n">
        <x:v>-4.756914042116628</x:v>
      </x:c>
      <x:c r="I83" s="60" t="n">
        <x:v>-6.16316094074435</x:v>
      </x:c>
    </x:row>
    <x:row r="84">
      <x:c r="A84" s="48" t="n">
        <x:v>202109</x:v>
      </x:c>
      <x:c r="B84" s="60" t="n">
        <x:v>-4.37</x:v>
      </x:c>
      <x:c r="C84" s="60" t="n">
        <x:v>0.71</x:v>
      </x:c>
      <x:c r="D84" s="60" t="n">
        <x:v>5.08</x:v>
      </x:c>
      <x:c r="E84" s="60" t="n">
        <x:v>0</x:v>
      </x:c>
      <x:c r="F84" s="60" t="n">
        <x:v>1.49</x:v>
      </x:c>
      <x:c r="G84" s="60" t="n">
        <x:v>10.32805</x:v>
      </x:c>
      <x:c r="H84" s="60" t="n">
        <x:v>6.9143873301234615</x:v>
      </x:c>
      <x:c r="I84" s="60" t="n">
        <x:v>0.8544888673043621</x:v>
      </x:c>
    </x:row>
    <x:row r="85">
      <x:c r="A85" s="48" t="n">
        <x:v>202110</x:v>
      </x:c>
      <x:c r="B85" s="60" t="n">
        <x:v>6.65</x:v>
      </x:c>
      <x:c r="C85" s="60" t="n">
        <x:v>-2.35</x:v>
      </x:c>
      <x:c r="D85" s="60" t="n">
        <x:v>-0.49</x:v>
      </x:c>
      <x:c r="E85" s="60" t="n">
        <x:v>0</x:v>
      </x:c>
      <x:c r="F85" s="60" t="n">
        <x:v>3.19</x:v>
      </x:c>
      <x:c r="G85" s="60" t="n">
        <x:v>0.699332</x:v>
      </x:c>
      <x:c r="H85" s="60" t="n">
        <x:v>-0.8333731418471463</x:v>
      </x:c>
      <x:c r="I85" s="60" t="n">
        <x:v>-4.266966321862551</x:v>
      </x:c>
    </x:row>
    <x:row r="86">
      <x:c r="A86" s="48" t="n">
        <x:v>202111</x:v>
      </x:c>
      <x:c r="B86" s="60" t="n">
        <x:v>-1.55</x:v>
      </x:c>
      <x:c r="C86" s="60" t="n">
        <x:v>-1.32</x:v>
      </x:c>
      <x:c r="D86" s="60" t="n">
        <x:v>-0.45</x:v>
      </x:c>
      <x:c r="E86" s="60" t="n">
        <x:v>0</x:v>
      </x:c>
      <x:c r="F86" s="60" t="n">
        <x:v>0.88</x:v>
      </x:c>
      <x:c r="G86" s="60" t="n">
        <x:v>12.5696</x:v>
      </x:c>
      <x:c r="H86" s="60" t="n">
        <x:v>4.36128749726298</x:v>
      </x:c>
      <x:c r="I86" s="60" t="n">
        <x:v>10.428095367321987</x:v>
      </x:c>
    </x:row>
    <x:row r="87">
      <x:c r="A87" s="48" t="n">
        <x:v>202112</x:v>
      </x:c>
      <x:c r="B87" s="60" t="n">
        <x:v>3.1</x:v>
      </x:c>
      <x:c r="C87" s="60" t="n">
        <x:v>-1.67</x:v>
      </x:c>
      <x:c r="D87" s="60" t="n">
        <x:v>3.26</x:v>
      </x:c>
      <x:c r="E87" s="60" t="n">
        <x:v>0.01</x:v>
      </x:c>
      <x:c r="F87" s="60" t="n">
        <x:v>-2.6</x:v>
      </x:c>
      <x:c r="G87" s="60" t="n">
        <x:v>-10.2407</x:v>
      </x:c>
      <x:c r="H87" s="60" t="n">
        <x:v>-5.2685089106999765</x:v>
      </x:c>
      <x:c r="I87" s="60" t="n">
        <x:v>0.7031509818012861</x:v>
      </x:c>
    </x:row>
    <x:row r="88">
      <x:c r="A88" s="48" t="n">
        <x:v>202201</x:v>
      </x:c>
      <x:c r="B88" s="60" t="n">
        <x:v>-6.25</x:v>
      </x:c>
      <x:c r="C88" s="60" t="n">
        <x:v>-5.94</x:v>
      </x:c>
      <x:c r="D88" s="60" t="n">
        <x:v>12.75</x:v>
      </x:c>
      <x:c r="E88" s="60" t="n">
        <x:v>0</x:v>
      </x:c>
      <x:c r="F88" s="60" t="n">
        <x:v>-2.6</x:v>
      </x:c>
      <x:c r="G88" s="60" t="n">
        <x:v>1.492955</x:v>
      </x:c>
      <x:c r="H88" s="60" t="n">
        <x:v>-3.136052086678269</x:v>
      </x:c>
      <x:c r="I88" s="60" t="n">
        <x:v>-4.480800762252126</x:v>
      </x:c>
    </x:row>
    <x:row r="89">
      <x:c r="A89" s="48" t="n">
        <x:v>202202</x:v>
      </x:c>
      <x:c r="B89" s="60" t="n">
        <x:v>-2.29</x:v>
      </x:c>
      <x:c r="C89" s="60" t="n">
        <x:v>2.19</x:v>
      </x:c>
      <x:c r="D89" s="60" t="n">
        <x:v>3.08</x:v>
      </x:c>
      <x:c r="E89" s="60" t="n">
        <x:v>0</x:v>
      </x:c>
      <x:c r="F89" s="60" t="n">
        <x:v>1.76</x:v>
      </x:c>
      <x:c r="G89" s="60" t="n">
        <x:v>0.711803</x:v>
      </x:c>
      <x:c r="H89" s="60" t="n">
        <x:v>3.577323877327999</x:v>
      </x:c>
      <x:c r="I89" s="60" t="n">
        <x:v>8.384052116494203</x:v>
      </x:c>
    </x:row>
    <x:row r="90">
      <x:c r="A90" s="48" t="n">
        <x:v>202203</x:v>
      </x:c>
      <x:c r="B90" s="60" t="n">
        <x:v>3.05</x:v>
      </x:c>
      <x:c r="C90" s="60" t="n">
        <x:v>-1.61</x:v>
      </x:c>
      <x:c r="D90" s="60" t="n">
        <x:v>-1.81</x:v>
      </x:c>
      <x:c r="E90" s="60" t="n">
        <x:v>0.01</x:v>
      </x:c>
      <x:c r="F90" s="60" t="n">
        <x:v>3.01</x:v>
      </x:c>
      <x:c r="G90" s="60" t="n">
        <x:v>10.61241</x:v>
      </x:c>
      <x:c r="H90" s="60" t="n">
        <x:v>-8.80567191490394</x:v>
      </x:c>
      <x:c r="I90" s="60" t="n">
        <x:v>1.8125071545128115</x:v>
      </x:c>
    </x:row>
    <x:row r="91">
      <x:c r="A91" s="48" t="n">
        <x:v>202204</x:v>
      </x:c>
      <x:c r="B91" s="60" t="n">
        <x:v>-9.46</x:v>
      </x:c>
      <x:c r="C91" s="60" t="n">
        <x:v>-1.39</x:v>
      </x:c>
      <x:c r="D91" s="60" t="n">
        <x:v>6.17</x:v>
      </x:c>
      <x:c r="E91" s="60" t="n">
        <x:v>0.01</x:v>
      </x:c>
      <x:c r="F91" s="60" t="n">
        <x:v>4.87</x:v>
      </x:c>
      <x:c r="G91" s="60" t="n">
        <x:v>4.93243</x:v>
      </x:c>
      <x:c r="H91" s="60" t="n">
        <x:v>-0.004675611639128806</x:v>
      </x:c>
      <x:c r="I91" s="60" t="n">
        <x:v>-0.5253589302941151</x:v>
      </x:c>
    </x:row>
    <x:row r="92">
      <x:c r="A92" s="48" t="n">
        <x:v>202205</x:v>
      </x:c>
      <x:c r="B92" s="60" t="n">
        <x:v>-0.34</x:v>
      </x:c>
      <x:c r="C92" s="60" t="n">
        <x:v>-1.83</x:v>
      </x:c>
      <x:c r="D92" s="60" t="n">
        <x:v>8.39</x:v>
      </x:c>
      <x:c r="E92" s="60" t="n">
        <x:v>0.03</x:v>
      </x:c>
      <x:c r="F92" s="60" t="n">
        <x:v>2.43</x:v>
      </x:c>
      <x:c r="G92" s="60" t="n">
        <x:v>-7.64733</x:v>
      </x:c>
      <x:c r="H92" s="60" t="n">
        <x:v>-8.42199932238664</x:v>
      </x:c>
      <x:c r="I92" s="60" t="n">
        <x:v>-0.5198031071445978</x:v>
      </x:c>
    </x:row>
    <x:row r="93">
      <x:c r="A93" s="48" t="n">
        <x:v>202206</x:v>
      </x:c>
      <x:c r="B93" s="60" t="n">
        <x:v>-8.43</x:v>
      </x:c>
      <x:c r="C93" s="60" t="n">
        <x:v>2.1</x:v>
      </x:c>
      <x:c r="D93" s="60" t="n">
        <x:v>-5.97</x:v>
      </x:c>
      <x:c r="E93" s="60" t="n">
        <x:v>0.06</x:v>
      </x:c>
      <x:c r="F93" s="60" t="n">
        <x:v>0.75</x:v>
      </x:c>
      <x:c r="G93" s="60" t="n">
        <x:v>4.823497</x:v>
      </x:c>
      <x:c r="H93" s="60" t="n">
        <x:v>9.051634763220596</x:v>
      </x:c>
      <x:c r="I93" s="60" t="n">
        <x:v>-1.7444001034337402</x:v>
      </x:c>
    </x:row>
    <x:row r="94">
      <x:c r="A94" s="48" t="n">
        <x:v>202207</x:v>
      </x:c>
      <x:c r="B94" s="60" t="n">
        <x:v>9.57</x:v>
      </x:c>
      <x:c r="C94" s="60" t="n">
        <x:v>2.81</x:v>
      </x:c>
      <x:c r="D94" s="60" t="n">
        <x:v>-4.05</x:v>
      </x:c>
      <x:c r="E94" s="60" t="n">
        <x:v>0.08</x:v>
      </x:c>
      <x:c r="F94" s="60" t="n">
        <x:v>-3.95</x:v>
      </x:c>
      <x:c r="G94" s="60" t="n">
        <x:v>-3.06863</x:v>
      </x:c>
      <x:c r="H94" s="60" t="n">
        <x:v>-4.324011921681044</x:v>
      </x:c>
      <x:c r="I94" s="60" t="n">
        <x:v>-7.632142278734467</x:v>
      </x:c>
    </x:row>
    <x:row r="95">
      <x:c r="A95" s="48" t="n">
        <x:v>202208</x:v>
      </x:c>
      <x:c r="B95" s="60" t="n">
        <x:v>-3.77</x:v>
      </x:c>
      <x:c r="C95" s="60" t="n">
        <x:v>1.4</x:v>
      </x:c>
      <x:c r="D95" s="60" t="n">
        <x:v>0.29</x:v>
      </x:c>
      <x:c r="E95" s="60" t="n">
        <x:v>0.19</x:v>
      </x:c>
      <x:c r="F95" s="60" t="n">
        <x:v>2.04</x:v>
      </x:c>
      <x:c r="G95" s="60" t="n">
        <x:v>-2.2663</x:v>
      </x:c>
      <x:c r="H95" s="60" t="n">
        <x:v>-9.529570164348929</x:v>
      </x:c>
      <x:c r="I95" s="60" t="n">
        <x:v>1.7423245385893917</x:v>
      </x:c>
    </x:row>
    <x:row r="96">
      <x:c r="A96" s="48" t="n">
        <x:v>202209</x:v>
      </x:c>
      <x:c r="B96" s="60" t="n">
        <x:v>-9.35</x:v>
      </x:c>
      <x:c r="C96" s="60" t="n">
        <x:v>-0.81</x:v>
      </x:c>
      <x:c r="D96" s="60" t="n">
        <x:v>0.05</x:v>
      </x:c>
      <x:c r="E96" s="60" t="n">
        <x:v>0.19</x:v>
      </x:c>
      <x:c r="F96" s="60" t="n">
        <x:v>3.51</x:v>
      </x:c>
      <x:c r="G96" s="60" t="n">
        <x:v>10.19121</x:v>
      </x:c>
      <x:c r="H96" s="60" t="n">
        <x:v>7.79634545768933</x:v>
      </x:c>
      <x:c r="I96" s="60" t="n">
        <x:v>6.304862577580049</x:v>
      </x:c>
    </x:row>
    <x:row r="97">
      <x:c r="A97" s="48" t="n">
        <x:v>202210</x:v>
      </x:c>
      <x:c r="B97" s="60" t="n">
        <x:v>7.83</x:v>
      </x:c>
      <x:c r="C97" s="60" t="n">
        <x:v>0.06</x:v>
      </x:c>
      <x:c r="D97" s="60" t="n">
        <x:v>8.01</x:v>
      </x:c>
      <x:c r="E97" s="60" t="n">
        <x:v>0.23</x:v>
      </x:c>
      <x:c r="F97" s="60" t="n">
        <x:v>3.96</x:v>
      </x:c>
      <x:c r="G97" s="60" t="n">
        <x:v>8.392675</x:v>
      </x:c>
      <x:c r="H97" s="60" t="n">
        <x:v>5.145286029369989</x:v>
      </x:c>
      <x:c r="I97" s="60" t="n">
        <x:v>2.0864856117828547</x:v>
      </x:c>
    </x:row>
    <x:row r="98">
      <x:c r="A98" s="48" t="n">
        <x:v>202211</x:v>
      </x:c>
      <x:c r="B98" s="60" t="n">
        <x:v>4.6</x:v>
      </x:c>
      <x:c r="C98" s="60" t="n">
        <x:v>-3.52</x:v>
      </x:c>
      <x:c r="D98" s="60" t="n">
        <x:v>1.38</x:v>
      </x:c>
      <x:c r="E98" s="60" t="n">
        <x:v>0.29</x:v>
      </x:c>
      <x:c r="F98" s="60" t="n">
        <x:v>-1.98</x:v>
      </x:c>
      <x:c r="G98" s="60" t="n">
        <x:v>0.802909</x:v>
      </x:c>
      <x:c r="H98" s="60" t="n">
        <x:v>-6.187144929916108</x:v>
      </x:c>
      <x:c r="I98" s="60" t="n">
        <x:v>-0.4078735654577665</x:v>
      </x:c>
    </x:row>
    <x:row r="99">
      <x:c r="A99" s="48" t="n">
        <x:v>202212</x:v>
      </x:c>
      <x:c r="B99" s="60" t="n">
        <x:v>-6.41</x:v>
      </x:c>
      <x:c r="C99" s="60" t="n">
        <x:v>-0.69</x:v>
      </x:c>
      <x:c r="D99" s="60" t="n">
        <x:v>1.37</x:v>
      </x:c>
      <x:c r="E99" s="60" t="n">
        <x:v>0.33</x:v>
      </x:c>
      <x:c r="F99" s="60" t="n">
        <x:v>4.55</x:v>
      </x:c>
      <x:c r="G99" s="60" t="n">
        <x:v>-12.1613</x:v>
      </x:c>
      <x:c r="H99" s="60" t="n">
        <x:v>5.845283240005207</x:v>
      </x:c>
      <x:c r="I99" s="60" t="n">
        <x:v>-7.819373085460324</x:v>
      </x:c>
    </x:row>
    <x:row r="100">
      <x:c r="A100" s="48" t="n">
        <x:v>202301</x:v>
      </x:c>
      <x:c r="B100" s="60" t="n">
        <x:v>6.65</x:v>
      </x:c>
      <x:c r="C100" s="60" t="n">
        <x:v>5.01</x:v>
      </x:c>
      <x:c r="D100" s="60" t="n">
        <x:v>-4.01</x:v>
      </x:c>
      <x:c r="E100" s="60" t="n">
        <x:v>0.35</x:v>
      </x:c>
      <x:c r="F100" s="60" t="n">
        <x:v>-16.01</x:v>
      </x:c>
      <x:c r="G100" s="60" t="n">
        <x:v>-9.16451</x:v>
      </x:c>
      <x:c r="H100" s="60" t="n">
        <x:v>-2.9612446646715354</x:v>
      </x:c>
      <x:c r="I100" s="60" t="n">
        <x:v>-6.567108899277478</x:v>
      </x:c>
    </x:row>
    <x:row r="101">
      <x:c r="A101" s="48" t="n">
        <x:v>202302</x:v>
      </x:c>
      <x:c r="B101" s="60" t="n">
        <x:v>-2.58</x:v>
      </x:c>
      <x:c r="C101" s="60" t="n">
        <x:v>1.17</x:v>
      </x:c>
      <x:c r="D101" s="60" t="n">
        <x:v>-0.81</x:v>
      </x:c>
      <x:c r="E101" s="60" t="n">
        <x:v>0.34</x:v>
      </x:c>
      <x:c r="F101" s="60" t="n">
        <x:v>0.15</x:v>
      </x:c>
      <x:c r="G101" s="60" t="n">
        <x:v>-2.80916</x:v>
      </x:c>
      <x:c r="H101" s="60" t="n">
        <x:v>3.165157235872708</x:v>
      </x:c>
      <x:c r="I101" s="60" t="n">
        <x:v>1.5227301104500737</x:v>
      </x:c>
    </x:row>
    <x:row r="102">
      <x:c r="A102" s="48" t="n">
        <x:v>202303</x:v>
      </x:c>
      <x:c r="B102" s="60" t="n">
        <x:v>2.51</x:v>
      </x:c>
      <x:c r="C102" s="60" t="n">
        <x:v>-5.51</x:v>
      </x:c>
      <x:c r="D102" s="60" t="n">
        <x:v>-8.85</x:v>
      </x:c>
      <x:c r="E102" s="60" t="n">
        <x:v>0.36</x:v>
      </x:c>
      <x:c r="F102" s="60" t="n">
        <x:v>-2.47</x:v>
      </x:c>
      <x:c r="G102" s="60" t="n">
        <x:v>10.11757</x:v>
      </x:c>
      <x:c r="H102" s="60" t="n">
        <x:v>1.1042360882970417</x:v>
      </x:c>
      <x:c r="I102" s="60" t="n">
        <x:v>5.252900126034685</x:v>
      </x:c>
    </x:row>
    <x:row r="103">
      <x:c r="A103" s="48" t="n">
        <x:v>202304</x:v>
      </x:c>
      <x:c r="B103" s="60" t="n">
        <x:v>0.61</x:v>
      </x:c>
      <x:c r="C103" s="60" t="n">
        <x:v>-3.35</x:v>
      </x:c>
      <x:c r="D103" s="60" t="n">
        <x:v>-0.04</x:v>
      </x:c>
      <x:c r="E103" s="60" t="n">
        <x:v>0.35</x:v>
      </x:c>
      <x:c r="F103" s="60" t="n">
        <x:v>1.62</x:v>
      </x:c>
      <x:c r="G103" s="60" t="n">
        <x:v>-1.61329</x:v>
      </x:c>
      <x:c r="H103" s="60" t="n">
        <x:v>-0.10176760651207425</x:v>
      </x:c>
      <x:c r="I103" s="60" t="n">
        <x:v>-5.627952734254106</x:v>
      </x:c>
    </x:row>
    <x:row r="104">
      <x:c r="A104" s="48" t="n">
        <x:v>202305</x:v>
      </x:c>
      <x:c r="B104" s="60" t="n">
        <x:v>0.35</x:v>
      </x:c>
      <x:c r="C104" s="60" t="n">
        <x:v>1.61</x:v>
      </x:c>
      <x:c r="D104" s="60" t="n">
        <x:v>-7.72</x:v>
      </x:c>
      <x:c r="E104" s="60" t="n">
        <x:v>0.36</x:v>
      </x:c>
      <x:c r="F104" s="60" t="n">
        <x:v>-0.63</x:v>
      </x:c>
      <x:c r="G104" s="60" t="n">
        <x:v>6.444552</x:v>
      </x:c>
      <x:c r="H104" s="60" t="n">
        <x:v>6.1127512841431395</x:v>
      </x:c>
      <x:c r="I104" s="60" t="n">
        <x:v>7.191176509440668</x:v>
      </x:c>
    </x:row>
    <x:row r="105">
      <x:c r="A105" s="48" t="n">
        <x:v>202306</x:v>
      </x:c>
      <x:c r="B105" s="60" t="n">
        <x:v>6.46</x:v>
      </x:c>
      <x:c r="C105" s="60" t="n">
        <x:v>1.54</x:v>
      </x:c>
      <x:c r="D105" s="60" t="n">
        <x:v>-0.26</x:v>
      </x:c>
      <x:c r="E105" s="60" t="n">
        <x:v>0.4</x:v>
      </x:c>
      <x:c r="F105" s="60" t="n">
        <x:v>-2.37</x:v>
      </x:c>
      <x:c r="G105" s="60" t="n">
        <x:v>5.891537</x:v>
      </x:c>
      <x:c r="H105" s="60" t="n">
        <x:v>2.7138913980379185</x:v>
      </x:c>
      <x:c r="I105" s="60" t="n">
        <x:v>0.8143525223274775</x:v>
      </x:c>
    </x:row>
    <x:row r="106">
      <x:c r="A106" s="48" t="n">
        <x:v>202307</x:v>
      </x:c>
      <x:c r="B106" s="60" t="n">
        <x:v>3.21</x:v>
      </x:c>
      <x:c r="C106" s="60" t="n">
        <x:v>2.08</x:v>
      </x:c>
      <x:c r="D106" s="60" t="n">
        <x:v>4.11</x:v>
      </x:c>
      <x:c r="E106" s="60" t="n">
        <x:v>0.45</x:v>
      </x:c>
      <x:c r="F106" s="60" t="n">
        <x:v>-3.98</x:v>
      </x:c>
      <x:c r="G106" s="60" t="n">
        <x:v>-4.27583</x:v>
      </x:c>
      <x:c r="H106" s="60" t="n">
        <x:v>-2.221643248143374</x:v>
      </x:c>
      <x:c r="I106" s="60" t="n">
        <x:v>-3.941904069540404</x:v>
      </x:c>
    </x:row>
    <x:row r="107">
      <x:c r="A107" s="48" t="n">
        <x:v>202308</x:v>
      </x:c>
      <x:c r="B107" s="60" t="n">
        <x:v>-2.39</x:v>
      </x:c>
      <x:c r="C107" s="60" t="n">
        <x:v>-3.16</x:v>
      </x:c>
      <x:c r="D107" s="60" t="n">
        <x:v>-1.06</x:v>
      </x:c>
      <x:c r="E107" s="60" t="n">
        <x:v>0.45</x:v>
      </x:c>
      <x:c r="F107" s="60" t="n">
        <x:v>3.77</x:v>
      </x:c>
      <x:c r="G107" s="60" t="n">
        <x:v>2.092352</x:v>
      </x:c>
      <x:c r="H107" s="60" t="n">
        <x:v>-5.321929116215501</x:v>
      </x:c>
      <x:c r="I107" s="60" t="n">
        <x:v>-3.418319731623451</x:v>
      </x:c>
    </x:row>
    <x:row r="108">
      <x:c r="A108" s="48" t="n">
        <x:v>202309</x:v>
      </x:c>
      <x:c r="B108" s="60" t="n">
        <x:v>-5.24</x:v>
      </x:c>
      <x:c r="C108" s="60" t="n">
        <x:v>-2.51</x:v>
      </x:c>
      <x:c r="D108" s="60" t="n">
        <x:v>1.52</x:v>
      </x:c>
      <x:c r="E108" s="60" t="n">
        <x:v>0.43</x:v>
      </x:c>
      <x:c r="F108" s="60" t="n">
        <x:v>0.26</x:v>
      </x:c>
      <x:c r="G108" s="60" t="n">
        <x:v>-0.22069</x:v>
      </x:c>
      <x:c r="H108" s="60" t="n">
        <x:v>-2.6279687736850086</x:v>
      </x:c>
      <x:c r="I108" s="60" t="n">
        <x:v>-5.187629962551667</x:v>
      </x:c>
    </x:row>
    <x:row r="109">
      <x:c r="A109" s="48" t="n">
        <x:v>202310</x:v>
      </x:c>
      <x:c r="B109" s="60" t="n">
        <x:v>-3.19</x:v>
      </x:c>
      <x:c r="C109" s="60" t="n">
        <x:v>-3.87</x:v>
      </x:c>
      <x:c r="D109" s="60" t="n">
        <x:v>0.19</x:v>
      </x:c>
      <x:c r="E109" s="60" t="n">
        <x:v>0.47</x:v>
      </x:c>
      <x:c r="F109" s="60" t="n">
        <x:v>1.73</x:v>
      </x:c>
      <x:c r="G109" s="60" t="n">
        <x:v>2.199888</x:v>
      </x:c>
      <x:c r="H109" s="60" t="n">
        <x:v>8.447926462873765</x:v>
      </x:c>
      <x:c r="I109" s="60" t="n">
        <x:v>3.7904957165358466</x:v>
      </x:c>
    </x:row>
    <x:row r="110">
      <x:c r="A110" s="48" t="n">
        <x:v>202311</x:v>
      </x:c>
      <x:c r="B110" s="60" t="n">
        <x:v>8.84</x:v>
      </x:c>
      <x:c r="C110" s="60" t="n">
        <x:v>-0.02</x:v>
      </x:c>
      <x:c r="D110" s="60" t="n">
        <x:v>1.64</x:v>
      </x:c>
      <x:c r="E110" s="60" t="n">
        <x:v>0.44</x:v>
      </x:c>
      <x:c r="F110" s="60" t="n">
        <x:v>2.75</x:v>
      </x:c>
      <x:c r="G110" s="60" t="n">
        <x:v>8.155856</x:v>
      </x:c>
      <x:c r="H110" s="60" t="n">
        <x:v>3.9829169403213744</x:v>
      </x:c>
      <x:c r="I110" s="60" t="n">
        <x:v>1.716460253861776</x:v>
      </x:c>
    </x:row>
    <x:row r="111">
      <x:c r="A111" s="48" t="n">
        <x:v>202312</x:v>
      </x:c>
      <x:c r="B111" s="60" t="n">
        <x:v>4.85</x:v>
      </x:c>
      <x:c r="C111" s="60" t="n">
        <x:v>6.34</x:v>
      </x:c>
      <x:c r="D111" s="60" t="n">
        <x:v>4.93</x:v>
      </x:c>
      <x:c r="E111" s="60" t="n">
        <x:v>0.43</x:v>
      </x:c>
      <x:c r="F111" s="60" t="n">
        <x:v>-5.53</x:v>
      </x:c>
      <x:c r="G111" s="60" t="n">
        <x:v>0.967677</x:v>
      </x:c>
      <x:c r="H111" s="60" t="n">
        <x:v>1.159574471207563</x:v>
      </x:c>
      <x:c r="I111" s="60" t="n">
        <x:v>0.9640063949668299</x:v>
      </x:c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customHeight="1">
      <x:c r="A1" s="34" t="str">
        <x:v>Corrected Asset-Pricing Regression Results</x:v>
      </x:c>
      <x:c r="B1" s="34"/>
      <x:c r="C1" s="34"/>
      <x:c r="D1" s="34"/>
      <x:c r="E1" s="34"/>
      <x:c r="F1" s="34"/>
      <x:c r="G1" s="34"/>
      <x:c r="H1" s="34"/>
      <x:c r="I1" s="34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</x:row>
    <x:row r="3">
      <x:c r="A3" s="38" t="str">
        <x:v>Model</x:v>
      </x:c>
      <x:c r="B3" s="38" t="str">
        <x:v>Factor</x:v>
      </x:c>
      <x:c r="C3" s="38" t="str">
        <x:v>Coefficient</x:v>
      </x:c>
      <x:c r="D3" s="38" t="str">
        <x:v>Std. Error</x:v>
      </x:c>
      <x:c r="E3" s="38" t="str">
        <x:v>t-stat</x:v>
      </x:c>
      <x:c r="F3" s="38" t="str">
        <x:v>p-value</x:v>
      </x:c>
      <x:c r="G3" s="38" t="str">
        <x:v>R-squared</x:v>
      </x:c>
      <x:c r="H3" s="38" t="str">
        <x:v>Adjusted R-squared</x:v>
      </x:c>
      <x:c r="I3" s="38" t="str">
        <x:v>N</x:v>
      </x:c>
    </x:row>
    <x:row r="4">
      <x:c r="A4" s="48" t="str">
        <x:v>Market regression: ExcessOP on ExcessSP500</x:v>
      </x:c>
      <x:c r="B4" s="48" t="str">
        <x:v>Alpha</x:v>
      </x:c>
      <x:c r="C4" s="60" t="n">
        <x:v>0.9987622719350155</x:v>
      </x:c>
      <x:c r="D4" s="60" t="n">
        <x:v>0.5082303550014611</x:v>
      </x:c>
      <x:c r="E4" s="60" t="n">
        <x:v>1.965176345934993</x:v>
      </x:c>
      <x:c r="F4" s="60" t="n">
        <x:v>0.05201041903084644</x:v>
      </x:c>
      <x:c r="G4" s="60" t="n">
        <x:v>0.2843853851761252</x:v>
      </x:c>
      <x:c r="H4" s="60" t="n">
        <x:v>0.27763430390420174</x:v>
      </x:c>
      <x:c r="I4" s="48" t="n">
        <x:v>108</x:v>
      </x:c>
    </x:row>
    <x:row r="5">
      <x:c r="A5" s="48" t="str">
        <x:v>Market regression: ExcessOP on ExcessSP500</x:v>
      </x:c>
      <x:c r="B5" s="48" t="str">
        <x:v>ExcessSP500</x:v>
      </x:c>
      <x:c r="C5" s="60" t="n">
        <x:v>0.7184270825932214</x:v>
      </x:c>
      <x:c r="D5" s="60" t="n">
        <x:v>0.11069187061503503</x:v>
      </x:c>
      <x:c r="E5" s="60" t="n">
        <x:v>6.490332836561884</x:v>
      </x:c>
      <x:c r="F5" s="60" t="n">
        <x:v>2.816497142465403e-9</x:v>
      </x:c>
      <x:c r="G5" s="60" t="n">
        <x:v>0.2843853851761252</x:v>
      </x:c>
      <x:c r="H5" s="60" t="n">
        <x:v>0.27763430390420174</x:v>
      </x:c>
      <x:c r="I5" s="48" t="n">
        <x:v>108</x:v>
      </x:c>
    </x:row>
    <x:row r="6">
      <x:c r="A6" s="48" t="str">
        <x:v>Fama-French 3-factor</x:v>
      </x:c>
      <x:c r="B6" s="48" t="str">
        <x:v>Alpha</x:v>
      </x:c>
      <x:c r="C6" s="60" t="n">
        <x:v>1.6483850488205016</x:v>
      </x:c>
      <x:c r="D6" s="60" t="n">
        <x:v>0.6040144970412241</x:v>
      </x:c>
      <x:c r="E6" s="60" t="n">
        <x:v>2.729048817363069</x:v>
      </x:c>
      <x:c r="F6" s="60" t="n">
        <x:v>0.007459634111632458</x:v>
      </x:c>
      <x:c r="G6" s="60" t="n">
        <x:v>0.021008668848839895</x:v>
      </x:c>
      <x:c r="H6" s="60" t="n">
        <x:v>-0.0072314657035972285</x:v>
      </x:c>
      <x:c r="I6" s="48" t="n">
        <x:v>108</x:v>
      </x:c>
    </x:row>
    <x:row r="7">
      <x:c r="A7" s="48" t="str">
        <x:v>Fama-French 3-factor</x:v>
      </x:c>
      <x:c r="B7" s="48" t="str">
        <x:v>MktRF</x:v>
      </x:c>
      <x:c r="C7" s="60" t="n">
        <x:v>-0.07354307862713808</x:v>
      </x:c>
      <x:c r="D7" s="60" t="n">
        <x:v>0.1315751005532917</x:v>
      </x:c>
      <x:c r="E7" s="60" t="n">
        <x:v>-0.558943738730802</x:v>
      </x:c>
      <x:c r="F7" s="60" t="n">
        <x:v>0.577401711488764</x:v>
      </x:c>
      <x:c r="G7" s="60" t="n">
        <x:v>0.021008668848839895</x:v>
      </x:c>
      <x:c r="H7" s="60" t="n">
        <x:v>-0.0072314657035972285</x:v>
      </x:c>
      <x:c r="I7" s="48" t="n">
        <x:v>108</x:v>
      </x:c>
    </x:row>
    <x:row r="8">
      <x:c r="A8" s="48" t="str">
        <x:v>Fama-French 3-factor</x:v>
      </x:c>
      <x:c r="B8" s="48" t="str">
        <x:v>SMB</x:v>
      </x:c>
      <x:c r="C8" s="60" t="n">
        <x:v>-0.254240088702574</x:v>
      </x:c>
      <x:c r="D8" s="60" t="n">
        <x:v>0.22754868013338952</x:v>
      </x:c>
      <x:c r="E8" s="60" t="n">
        <x:v>-1.1172997731893584</x:v>
      </x:c>
      <x:c r="F8" s="60" t="n">
        <x:v>0.26644067978418384</x:v>
      </x:c>
      <x:c r="G8" s="60" t="n">
        <x:v>0.021008668848839895</x:v>
      </x:c>
      <x:c r="H8" s="60" t="n">
        <x:v>-0.0072314657035972285</x:v>
      </x:c>
      <x:c r="I8" s="48" t="n">
        <x:v>108</x:v>
      </x:c>
    </x:row>
    <x:row r="9">
      <x:c r="A9" s="48" t="str">
        <x:v>Fama-French 3-factor</x:v>
      </x:c>
      <x:c r="B9" s="48" t="str">
        <x:v>HML</x:v>
      </x:c>
      <x:c r="C9" s="60" t="n">
        <x:v>0.06548973347827658</x:v>
      </x:c>
      <x:c r="D9" s="60" t="n">
        <x:v>0.15378954907790562</x:v>
      </x:c>
      <x:c r="E9" s="60" t="n">
        <x:v>0.42583994732373687</x:v>
      </x:c>
      <x:c r="F9" s="60" t="n">
        <x:v>0.6711044666992493</x:v>
      </x:c>
      <x:c r="G9" s="60" t="n">
        <x:v>0.021008668848839895</x:v>
      </x:c>
      <x:c r="H9" s="60" t="n">
        <x:v>-0.0072314657035972285</x:v>
      </x:c>
      <x:c r="I9" s="48" t="n">
        <x:v>108</x:v>
      </x:c>
    </x:row>
    <x:row r="10">
      <x:c r="A10" s="48" t="str">
        <x:v>Carhart 4-factor</x:v>
      </x:c>
      <x:c r="B10" s="48" t="str">
        <x:v>Alpha</x:v>
      </x:c>
      <x:c r="C10" s="60" t="n">
        <x:v>1.686638762007599</x:v>
      </x:c>
      <x:c r="D10" s="60" t="n">
        <x:v>0.6076919915996124</x:v>
      </x:c>
      <x:c r="E10" s="60" t="n">
        <x:v>2.7754829507756096</x:v>
      </x:c>
      <x:c r="F10" s="60" t="n">
        <x:v>0.00654749976006024</x:v>
      </x:c>
      <x:c r="G10" s="60" t="n">
        <x:v>0.025978937372192368</x:v>
      </x:c>
      <x:c r="H10" s="60" t="n">
        <x:v>-0.01184712331238269</x:v>
      </x:c>
      <x:c r="I10" s="48" t="n">
        <x:v>108</x:v>
      </x:c>
    </x:row>
    <x:row r="11">
      <x:c r="A11" s="48" t="str">
        <x:v>Carhart 4-factor</x:v>
      </x:c>
      <x:c r="B11" s="48" t="str">
        <x:v>MktRF</x:v>
      </x:c>
      <x:c r="C11" s="60" t="n">
        <x:v>-0.11248618231951125</x:v>
      </x:c>
      <x:c r="D11" s="60" t="n">
        <x:v>0.1423965659171409</x:v>
      </x:c>
      <x:c r="E11" s="60" t="n">
        <x:v>-0.7899501058541385</x:v>
      </x:c>
      <x:c r="F11" s="60" t="n">
        <x:v>0.4313717853639026</x:v>
      </x:c>
      <x:c r="G11" s="60" t="n">
        <x:v>0.025978937372192368</x:v>
      </x:c>
      <x:c r="H11" s="60" t="n">
        <x:v>-0.01184712331238269</x:v>
      </x:c>
      <x:c r="I11" s="48" t="n">
        <x:v>108</x:v>
      </x:c>
    </x:row>
    <x:row r="12">
      <x:c r="A12" s="48" t="str">
        <x:v>Carhart 4-factor</x:v>
      </x:c>
      <x:c r="B12" s="48" t="str">
        <x:v>SMB</x:v>
      </x:c>
      <x:c r="C12" s="60" t="n">
        <x:v>-0.29494816974708626</x:v>
      </x:c>
      <x:c r="D12" s="60" t="n">
        <x:v>0.23487995723466892</x:v>
      </x:c>
      <x:c r="E12" s="60" t="n">
        <x:v>-1.2557400521509934</x:v>
      </x:c>
      <x:c r="F12" s="60" t="n">
        <x:v>0.21205136787523254</x:v>
      </x:c>
      <x:c r="G12" s="60" t="n">
        <x:v>0.025978937372192368</x:v>
      </x:c>
      <x:c r="H12" s="60" t="n">
        <x:v>-0.01184712331238269</x:v>
      </x:c>
      <x:c r="I12" s="48" t="n">
        <x:v>108</x:v>
      </x:c>
    </x:row>
    <x:row r="13">
      <x:c r="A13" s="48" t="str">
        <x:v>Carhart 4-factor</x:v>
      </x:c>
      <x:c r="B13" s="48" t="str">
        <x:v>HML</x:v>
      </x:c>
      <x:c r="C13" s="60" t="n">
        <x:v>0.03006945544994133</x:v>
      </x:c>
      <x:c r="D13" s="60" t="n">
        <x:v>0.16169917409260326</x:v>
      </x:c>
      <x:c r="E13" s="60" t="n">
        <x:v>0.185959239548873</x:v>
      </x:c>
      <x:c r="F13" s="60" t="n">
        <x:v>0.8528424630691271</x:v>
      </x:c>
      <x:c r="G13" s="60" t="n">
        <x:v>0.025978937372192368</x:v>
      </x:c>
      <x:c r="H13" s="60" t="n">
        <x:v>-0.01184712331238269</x:v>
      </x:c>
      <x:c r="I13" s="48" t="n">
        <x:v>108</x:v>
      </x:c>
    </x:row>
    <x:row r="14">
      <x:c r="A14" s="48" t="str">
        <x:v>Carhart 4-factor</x:v>
      </x:c>
      <x:c r="B14" s="48" t="str">
        <x:v>Mom</x:v>
      </x:c>
      <x:c r="C14" s="60" t="n">
        <x:v>-0.12545611085017394</x:v>
      </x:c>
      <x:c r="D14" s="60" t="n">
        <x:v>0.17304834725327686</x:v>
      </x:c>
      <x:c r="E14" s="60" t="n">
        <x:v>-0.7249772265467175</x:v>
      </x:c>
      <x:c r="F14" s="60" t="n">
        <x:v>0.4701098037417654</x:v>
      </x:c>
      <x:c r="G14" s="60" t="n">
        <x:v>0.025978937372192368</x:v>
      </x:c>
      <x:c r="H14" s="60" t="n">
        <x:v>-0.01184712331238269</x:v>
      </x:c>
      <x:c r="I14" s="48" t="n">
        <x:v>108</x:v>
      </x:c>
    </x:row>
    <x:row r="15">
      <x:c r="A15" s="48" t="str">
        <x:v>JNJ Carhart comparison</x:v>
      </x:c>
      <x:c r="B15" s="48" t="str">
        <x:v>Alpha</x:v>
      </x:c>
      <x:c r="C15" s="60" t="n">
        <x:v>0.808574930971402</x:v>
      </x:c>
      <x:c r="D15" s="60" t="n">
        <x:v>0.4541185832774391</x:v>
      </x:c>
      <x:c r="E15" s="60" t="n">
        <x:v>1.7805369803098576</x:v>
      </x:c>
      <x:c r="F15" s="60" t="n">
        <x:v>0.07793645081097439</x:v>
      </x:c>
      <x:c r="G15" s="60" t="n">
        <x:v>0.04735714067780328</x:v>
      </x:c>
      <x:c r="H15" s="60" t="n">
        <x:v>0.010361301480824814</x:v>
      </x:c>
      <x:c r="I15" s="48" t="n">
        <x:v>108</x:v>
      </x:c>
    </x:row>
    <x:row r="16">
      <x:c r="A16" s="48" t="str">
        <x:v>JNJ Carhart comparison</x:v>
      </x:c>
      <x:c r="B16" s="48" t="str">
        <x:v>MktRF</x:v>
      </x:c>
      <x:c r="C16" s="60" t="n">
        <x:v>-0.17639249917827773</x:v>
      </x:c>
      <x:c r="D16" s="60" t="n">
        <x:v>0.10641069435134175</x:v>
      </x:c>
      <x:c r="E16" s="60" t="n">
        <x:v>-1.6576576278684303</x:v>
      </x:c>
      <x:c r="F16" s="60" t="n">
        <x:v>0.10042937822938833</x:v>
      </x:c>
      <x:c r="G16" s="60" t="n">
        <x:v>0.04735714067780328</x:v>
      </x:c>
      <x:c r="H16" s="60" t="n">
        <x:v>0.010361301480824814</x:v>
      </x:c>
      <x:c r="I16" s="48" t="n">
        <x:v>108</x:v>
      </x:c>
    </x:row>
    <x:row r="17">
      <x:c r="A17" s="48" t="str">
        <x:v>JNJ Carhart comparison</x:v>
      </x:c>
      <x:c r="B17" s="48" t="str">
        <x:v>SMB</x:v>
      </x:c>
      <x:c r="C17" s="60" t="n">
        <x:v>0.18291292733355183</x:v>
      </x:c>
      <x:c r="D17" s="60" t="n">
        <x:v>0.1755220652799884</x:v>
      </x:c>
      <x:c r="E17" s="60" t="n">
        <x:v>1.042107879951012</x:v>
      </x:c>
      <x:c r="F17" s="60" t="n">
        <x:v>0.29980151806109984</x:v>
      </x:c>
      <x:c r="G17" s="60" t="n">
        <x:v>0.04735714067780328</x:v>
      </x:c>
      <x:c r="H17" s="60" t="n">
        <x:v>0.010361301480824814</x:v>
      </x:c>
      <x:c r="I17" s="48" t="n">
        <x:v>108</x:v>
      </x:c>
    </x:row>
    <x:row r="18">
      <x:c r="A18" s="48" t="str">
        <x:v>JNJ Carhart comparison</x:v>
      </x:c>
      <x:c r="B18" s="48" t="str">
        <x:v>HML</x:v>
      </x:c>
      <x:c r="C18" s="60" t="n">
        <x:v>-0.1792013027746555</x:v>
      </x:c>
      <x:c r="D18" s="60" t="n">
        <x:v>0.12083522717285684</x:v>
      </x:c>
      <x:c r="E18" s="60" t="n">
        <x:v>-1.4830220207084561</x:v>
      </x:c>
      <x:c r="F18" s="60" t="n">
        <x:v>0.1411219784539812</x:v>
      </x:c>
      <x:c r="G18" s="60" t="n">
        <x:v>0.04735714067780328</x:v>
      </x:c>
      <x:c r="H18" s="60" t="n">
        <x:v>0.010361301480824814</x:v>
      </x:c>
      <x:c r="I18" s="48" t="n">
        <x:v>108</x:v>
      </x:c>
    </x:row>
    <x:row r="19">
      <x:c r="A19" s="48" t="str">
        <x:v>JNJ Carhart comparison</x:v>
      </x:c>
      <x:c r="B19" s="48" t="str">
        <x:v>Mom</x:v>
      </x:c>
      <x:c r="C19" s="60" t="n">
        <x:v>-0.09664190836879447</x:v>
      </x:c>
      <x:c r="D19" s="60" t="n">
        <x:v>0.12931628420230531</x:v>
      </x:c>
      <x:c r="E19" s="60" t="n">
        <x:v>-0.7473297656589458</x:v>
      </x:c>
      <x:c r="F19" s="60" t="n">
        <x:v>0.4565672391402295</x:v>
      </x:c>
      <x:c r="G19" s="60" t="n">
        <x:v>0.04735714067780328</x:v>
      </x:c>
      <x:c r="H19" s="60" t="n">
        <x:v>0.010361301480824814</x:v>
      </x:c>
      <x:c r="I19" s="48" t="n">
        <x:v>108</x:v>
      </x:c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</x:row>
    <x:row r="21">
      <x:c r="A21" s="68" t="str">
        <x:v>The market regression is correctly oriented with the optimized portfolio excess return as the dependent variable. The original report reversed this specification.</x:v>
      </x:c>
      <x:c r="B21" s="68"/>
      <x:c r="C21" s="68"/>
      <x:c r="D21" s="68"/>
      <x:c r="E21" s="68"/>
      <x:c r="F21" s="68"/>
      <x:c r="G21" s="68"/>
      <x:c r="H21" s="68"/>
      <x:c r="I21" s="68"/>
    </x:row>
  </x:sheetData>
  <x:mergeCells>
    <x:mergeCell ref="A1:I1"/>
    <x:mergeCell ref="A21:I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28" customHeight="1">
      <x:c r="A1" s="34" t="str">
        <x:v>Interpretation and Model Limitations</x:v>
      </x:c>
      <x:c r="B1" s="34"/>
      <x:c r="C1" s="34"/>
      <x:c r="D1" s="34"/>
      <x:c r="E1" s="34"/>
      <x:c r="F1" s="34"/>
    </x:row>
    <x:row r="2">
      <x:c r="A2" s="48"/>
      <x:c r="B2" s="48"/>
      <x:c r="C2" s="48"/>
      <x:c r="D2" s="48"/>
      <x:c r="E2" s="48"/>
      <x:c r="F2" s="48"/>
    </x:row>
    <x:row r="3">
      <x:c r="A3" s="38" t="str">
        <x:v>Issue</x:v>
      </x:c>
      <x:c r="B3" s="38" t="str">
        <x:v>Portfolio implication</x:v>
      </x:c>
      <x:c r="C3" s="48"/>
      <x:c r="D3" s="48"/>
      <x:c r="E3" s="48"/>
      <x:c r="F3" s="48"/>
    </x:row>
    <x:row r="4">
      <x:c r="A4" s="49" t="str">
        <x:v>In-sample optimization</x:v>
      </x:c>
      <x:c r="B4" s="50" t="str">
        <x:v>Portfolio weights and performance were estimated over the same 2015-2023 sample, creating overfitting and look-ahead concerns.</x:v>
      </x:c>
      <x:c r="C4" s="48"/>
      <x:c r="D4" s="48"/>
      <x:c r="E4" s="48"/>
      <x:c r="F4" s="48"/>
    </x:row>
    <x:row r="5">
      <x:c r="A5" s="49" t="str">
        <x:v>Short selling</x:v>
      </x:c>
      <x:c r="B5" s="50" t="str">
        <x:v>The maximum-Sharpe portfolio requires material short positions and may not be feasible for all investors.</x:v>
      </x:c>
      <x:c r="C5" s="48"/>
      <x:c r="D5" s="48"/>
      <x:c r="E5" s="48"/>
      <x:c r="F5" s="48"/>
    </x:row>
    <x:row r="6">
      <x:c r="A6" s="49" t="str">
        <x:v>Concentration</x:v>
      </x:c>
      <x:c r="B6" s="50" t="str">
        <x:v>The optimized portfolios include concentrated weights, particularly in JNJ for the minimum-variance portfolio.</x:v>
      </x:c>
      <x:c r="C6" s="48"/>
      <x:c r="D6" s="48"/>
      <x:c r="E6" s="48"/>
      <x:c r="F6" s="48"/>
    </x:row>
    <x:row r="7">
      <x:c r="A7" s="49" t="str">
        <x:v>Transaction costs</x:v>
      </x:c>
      <x:c r="B7" s="50" t="str">
        <x:v>Returns do not deduct trading costs, short-borrow fees, taxes, or market impact.</x:v>
      </x:c>
      <x:c r="C7" s="48"/>
      <x:c r="D7" s="48"/>
      <x:c r="E7" s="48"/>
      <x:c r="F7" s="48"/>
    </x:row>
    <x:row r="8">
      <x:c r="A8" s="49" t="str">
        <x:v>Estimation error</x:v>
      </x:c>
      <x:c r="B8" s="50" t="str">
        <x:v>Mean-variance weights are highly sensitive to estimated means and covariances.</x:v>
      </x:c>
      <x:c r="C8" s="48"/>
      <x:c r="D8" s="48"/>
      <x:c r="E8" s="48"/>
      <x:c r="F8" s="48"/>
    </x:row>
    <x:row r="9">
      <x:c r="A9" s="49" t="str">
        <x:v>Factor interpretation</x:v>
      </x:c>
      <x:c r="B9" s="50" t="str">
        <x:v>A positive sample alpha is not proof of underpricing or skill; it may reflect omitted factors, sampling variation, or optimization bias.</x:v>
      </x:c>
      <x:c r="C9" s="48"/>
      <x:c r="D9" s="48"/>
      <x:c r="E9" s="48"/>
      <x:c r="F9" s="48"/>
    </x:row>
    <x:row r="10">
      <x:c r="A10" s="49" t="str">
        <x:v>Benchmark comparison</x:v>
      </x:c>
      <x:c r="B10" s="50" t="str">
        <x:v>The Sharpe advantage over SPY is modest: approximately 0.925 versus 0.900, while volatility is materially higher.</x:v>
      </x:c>
      <x:c r="C10" s="48"/>
      <x:c r="D10" s="48"/>
      <x:c r="E10" s="48"/>
      <x:c r="F10" s="48"/>
    </x:row>
    <x:row r="11">
      <x:c r="A11" s="49" t="str">
        <x:v>No out-of-sample test</x:v>
      </x:c>
      <x:c r="B11" s="50" t="str">
        <x:v>The project does not include a holdout period, rolling estimation, or walk-forward validation.</x:v>
      </x:c>
      <x:c r="C11" s="48"/>
      <x:c r="D11" s="48"/>
      <x:c r="E11" s="48"/>
      <x:c r="F11" s="48"/>
    </x:row>
  </x:sheetData>
  <x:mergeCells>
    <x:mergeCell ref="A1:F1"/>
  </x:mergeCells>
  <x:pageMargins left="0.7" right="0.7" top="0.75" bottom="0.75" header="0.3" footer="0.3"/>
</x:worksheet>
</file>